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ZOVALENTIMCAPPELOZ\Desktop\"/>
    </mc:Choice>
  </mc:AlternateContent>
  <xr:revisionPtr revIDLastSave="0" documentId="8_{4DF9268D-26C4-411C-80C7-450705B5AC47}" xr6:coauthVersionLast="47" xr6:coauthVersionMax="47" xr10:uidLastSave="{00000000-0000-0000-0000-000000000000}"/>
  <bookViews>
    <workbookView xWindow="-108" yWindow="-108" windowWidth="23256" windowHeight="12456" activeTab="1" xr2:uid="{9B740996-F5CA-4464-9650-74AA38C8EEFF}"/>
  </bookViews>
  <sheets>
    <sheet name="Geral" sheetId="1" r:id="rId1"/>
    <sheet name="Incidentes x Supte" sheetId="2" r:id="rId2"/>
    <sheet name="Diári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1" i="2" l="1"/>
  <c r="C101" i="2"/>
  <c r="B101" i="2"/>
  <c r="G100" i="2"/>
  <c r="E100" i="2"/>
  <c r="G99" i="2"/>
  <c r="E99" i="2"/>
  <c r="G98" i="2"/>
  <c r="E98" i="2"/>
  <c r="G97" i="2"/>
  <c r="E97" i="2"/>
  <c r="G96" i="2"/>
  <c r="E96" i="2"/>
  <c r="F18" i="1"/>
  <c r="H19" i="1"/>
  <c r="H20" i="1"/>
  <c r="H21" i="1"/>
  <c r="H22" i="1"/>
  <c r="H18" i="1"/>
  <c r="F19" i="1"/>
  <c r="F20" i="1"/>
  <c r="F21" i="1"/>
  <c r="F22" i="1"/>
  <c r="D23" i="1"/>
  <c r="E19" i="1" s="1"/>
  <c r="C23" i="1"/>
  <c r="B23" i="1"/>
  <c r="G28" i="1"/>
  <c r="G29" i="1"/>
  <c r="G30" i="1"/>
  <c r="E28" i="1"/>
  <c r="E29" i="1"/>
  <c r="E30" i="1"/>
  <c r="C31" i="1"/>
  <c r="D31" i="1"/>
  <c r="B31" i="1"/>
  <c r="G27" i="1"/>
  <c r="E27" i="1"/>
  <c r="E26" i="1"/>
  <c r="G26" i="1"/>
  <c r="D3" i="1"/>
  <c r="G3" i="1" s="1"/>
  <c r="D4" i="1"/>
  <c r="D5" i="1"/>
  <c r="D6" i="1"/>
  <c r="D2" i="1"/>
  <c r="G2" i="1" s="1"/>
  <c r="C7" i="1"/>
  <c r="B7" i="1"/>
  <c r="D7" i="1" s="1"/>
  <c r="B8" i="1" s="1"/>
  <c r="G101" i="2" l="1"/>
  <c r="E101" i="2"/>
  <c r="F23" i="1"/>
  <c r="E18" i="1"/>
  <c r="E20" i="1"/>
  <c r="E23" i="1"/>
  <c r="E22" i="1"/>
  <c r="E21" i="1"/>
  <c r="G31" i="1"/>
  <c r="E31" i="1"/>
  <c r="H23" i="1"/>
  <c r="E5" i="1"/>
  <c r="G4" i="1"/>
  <c r="E6" i="1"/>
  <c r="G5" i="1"/>
  <c r="E2" i="1"/>
  <c r="G6" i="1"/>
  <c r="F3" i="1"/>
  <c r="F4" i="1"/>
  <c r="F6" i="1"/>
  <c r="F2" i="1"/>
  <c r="E3" i="1"/>
  <c r="E4" i="1"/>
  <c r="F5" i="1"/>
  <c r="C8" i="1"/>
</calcChain>
</file>

<file path=xl/sharedStrings.xml><?xml version="1.0" encoding="utf-8"?>
<sst xmlns="http://schemas.openxmlformats.org/spreadsheetml/2006/main" count="284" uniqueCount="90">
  <si>
    <t>Superintendente</t>
  </si>
  <si>
    <t>Novo + Em Progresso</t>
  </si>
  <si>
    <t>Fechado + Encerrado</t>
  </si>
  <si>
    <t>Cristoni</t>
  </si>
  <si>
    <t>Hayashida</t>
  </si>
  <si>
    <t>Madureira</t>
  </si>
  <si>
    <t>Hamilton</t>
  </si>
  <si>
    <t>Felipe Edson</t>
  </si>
  <si>
    <t>Total Geral por Superintendente</t>
  </si>
  <si>
    <t>Total Geral por Status</t>
  </si>
  <si>
    <t>% do Total Geral por Status</t>
  </si>
  <si>
    <t>Total abertos hoje</t>
  </si>
  <si>
    <t>Variação diária (d em relação à d-1)</t>
  </si>
  <si>
    <t>Status da Variação Diária</t>
  </si>
  <si>
    <t>Variação Semanal (d em relação à d-7)</t>
  </si>
  <si>
    <t>Status da Variação Semanal</t>
  </si>
  <si>
    <t>Total abertos em d-7</t>
  </si>
  <si>
    <t>Total abertos em d-1</t>
  </si>
  <si>
    <t>Diminuiu</t>
  </si>
  <si>
    <t>Aumentou</t>
  </si>
  <si>
    <t>% 'Novo + Em Progresso'</t>
  </si>
  <si>
    <t>% 'Fechado + Encerrado'</t>
  </si>
  <si>
    <t>Total de 29/05 até 16/06</t>
  </si>
  <si>
    <t>Total de 29/05 até 22/06</t>
  </si>
  <si>
    <t>Total de 29/05 até 23/06</t>
  </si>
  <si>
    <t>% do Supte em relação ao Total</t>
  </si>
  <si>
    <t>Variação Diária (d em relação à d-1)</t>
  </si>
  <si>
    <t>Report de Ontem</t>
  </si>
  <si>
    <t>Report de Hoje</t>
  </si>
  <si>
    <t>Rodrigo Macia</t>
  </si>
  <si>
    <t>Peso Total (todos os status) por Superintendente</t>
  </si>
  <si>
    <t>Report de Ontem' Novo + Em Progresso'</t>
  </si>
  <si>
    <t>Report de Hoje 'Novo + Em Progresso'</t>
  </si>
  <si>
    <t>Abertos (Em Progresso)</t>
  </si>
  <si>
    <t>Fechados (Encerrado)</t>
  </si>
  <si>
    <t>(600) ████████████</t>
  </si>
  <si>
    <t>████ (200)</t>
  </si>
  <si>
    <t>(550) ███████████</t>
  </si>
  <si>
    <t>██████ (300)</t>
  </si>
  <si>
    <t>(500) ██████████</t>
  </si>
  <si>
    <t>██ (100)</t>
  </si>
  <si>
    <t>(100) ██</t>
  </si>
  <si>
    <t>███ (150)</t>
  </si>
  <si>
    <t>(50) █</t>
  </si>
  <si>
    <t>███ (170)</t>
  </si>
  <si>
    <t>Peso no Total</t>
  </si>
  <si>
    <t>Visualização</t>
  </si>
  <si>
    <t>▓▓▓▓▓▓▓▓▓▓▓▓▓▓▓</t>
  </si>
  <si>
    <t>▓▓▓▓▓▓▓▓▓▓▓▓▓▓</t>
  </si>
  <si>
    <t>▓▓▓▓▓▓▓▓▓▓▓</t>
  </si>
  <si>
    <t>▓▓▓▓</t>
  </si>
  <si>
    <t>▓▓▓</t>
  </si>
  <si>
    <r>
      <t>Ponto de Atenção:</t>
    </r>
    <r>
      <rPr>
        <sz val="11"/>
        <color theme="1"/>
        <rFont val="Aptos Narrow"/>
        <family val="2"/>
        <scheme val="minor"/>
      </rPr>
      <t xml:space="preserve"> A fila de incidentes está crescendo. </t>
    </r>
    <r>
      <rPr>
        <b/>
        <sz val="11"/>
        <color theme="1"/>
        <rFont val="Aptos Narrow"/>
        <family val="2"/>
        <scheme val="minor"/>
      </rPr>
      <t>Hamilton e Cristoni</t>
    </r>
    <r>
      <rPr>
        <sz val="11"/>
        <color theme="1"/>
        <rFont val="Aptos Narrow"/>
        <family val="2"/>
        <scheme val="minor"/>
      </rPr>
      <t xml:space="preserve"> concentram 60% de todo o volume e precisam de foco para reverter o acúmulo de tarefas em progresso.</t>
    </r>
  </si>
  <si>
    <r>
      <t>Mensagem Final:</t>
    </r>
    <r>
      <rPr>
        <sz val="11"/>
        <color theme="1"/>
        <rFont val="Aptos Narrow"/>
        <family val="2"/>
        <scheme val="minor"/>
      </rPr>
      <t xml:space="preserve"> Amarra todas as informações visuais em uma frase clara e acionável, garantindo que ninguém saia da leitura sem entender o recado principal.</t>
    </r>
  </si>
  <si>
    <t>1. RESUMO GERAL (A Situação em 5 Segundos) - No último dia, dois superintendentes apresentaram melhora no indicador, um teve queda e dois permaneceram estáveis.
Mensagem Visual: Uma frase simples no topo que resume todo o cenário. O leitor já sabe o que esperar antes mesmo de ver os detalhes.</t>
  </si>
  <si>
    <t>(Esta é a simulação do gráfico. É uma tabela ordenada pelo maior impacto (variação), não por ordem alfabética. Usamos ícones e cores para que a mudança seja percebida antes mesmo de ler os números.)</t>
  </si>
  <si>
    <t>Ontem</t>
  </si>
  <si>
    <t>Hoje</t>
  </si>
  <si>
    <t>Variação</t>
  </si>
  <si>
    <t>&amp;lt;font size="4" color="green"&gt;+3% ↗&amp;lt;/font&gt;</t>
  </si>
  <si>
    <t>&amp;lt;font size="4" color="green"&gt;+2% ↗&amp;lt;/font&gt;</t>
  </si>
  <si>
    <t>&amp;lt;font size="4" color="gray"&gt;**(estável)** →&amp;lt;/font&gt;</t>
  </si>
  <si>
    <t>&amp;lt;font size="4" color="red"&gt;**-1%** ↘&amp;lt;/font&gt;</t>
  </si>
  <si>
    <t>Mensagem Visual:
Ordenação por Destaque: Os "maiores movimentos" (Madureira e Hayashida com variação positiva) estão no topo, capturando a atenção. A queda vem por último.
Ícones e Cores: As setas e as cores contam a história instantaneamente. Verde (↗) = subiu/melhorou. Vermelho (↘) = caiu/piorou. Cinza (→) = sem mudança. Você entende o status de cada um sem precisar subtrair os números.
Clareza na Variação: A coluna "Variação" mostra o número exato, confirmando a percepção visual.</t>
  </si>
  <si>
    <t>3. PONTOS DE ATENÇÃO (A Conclusão em 10 Segundos) - Destaques: A melhora mais significativa foi a de Madureira.
Atenção: Monitorar a leve queda no indicador de Felipe Edson. - Mensagem Final: Direciona o foco para as principais histórias contadas pelos dados (a maior subida e a única queda), garantindo que a mensagem principal seja absorvida e que ações possam ser consideradas. - Este formato é extremamente eficaz porque combina a precisão dos números com a velocidade de interpretação de um sistema visual (cores e ícones), tudo isso em uma estrutura simples e direta.</t>
  </si>
  <si>
    <t>Este report destaca o volume de incidentes "Novo + Em Progresso" e suas variações diárias e semanais por superintendente.</t>
  </si>
  <si>
    <t>Exportar para as Planilhas</t>
  </si>
  <si>
    <t>Variação Diária (22/06 para 23/06)</t>
  </si>
  <si>
    <t>Todos os superintendentes apresentaram aumento no volume de incidentes "Novo + Em Progresso" nas últimas 24 horas.</t>
  </si>
  <si>
    <t>Variação Diária</t>
  </si>
  <si>
    <t>Status</t>
  </si>
  <si>
    <t>Média Geral</t>
  </si>
  <si>
    <t>Variação Semanal (16/06 para 23/06)</t>
  </si>
  <si>
    <t>Todos os superintendentes mantiveram o status de aumento na variação semanal de incidentes "Novo + Em Progresso".</t>
  </si>
  <si>
    <t>Variação Semanal</t>
  </si>
  <si>
    <t>Este report apresenta o total de incidentes abertos, com foco nas variações diárias e semanais por superintendente, independentemente do status.</t>
  </si>
  <si>
    <t>Volume de Incidentes Abertos</t>
  </si>
  <si>
    <t>Total Abertos Há 7 Dias</t>
  </si>
  <si>
    <t>Total Abertos Há 1 Dia</t>
  </si>
  <si>
    <t>Total Abertos Hoje</t>
  </si>
  <si>
    <t>Variação Diária (Hoje vs. Há 1 Dia)</t>
  </si>
  <si>
    <t>A maioria dos superintendentes apresentou diminuição no número de incidentes abertos nas últimas 24 horas.</t>
  </si>
  <si>
    <t>Variação Semanal (Hoje vs. Há 7 Dias)</t>
  </si>
  <si>
    <t>A variação semanal demonstra tendências mistas, com alguns superintendentes reduzindo drasticamente e outros aumentando o volume de incidentes abertos.</t>
  </si>
  <si>
    <t>Conclusão Rápida:</t>
  </si>
  <si>
    <r>
      <t xml:space="preserve">O volume total de incidentes abertos hoje é de </t>
    </r>
    <r>
      <rPr>
        <b/>
        <sz val="11"/>
        <color theme="1"/>
        <rFont val="Aptos Narrow"/>
        <family val="2"/>
        <scheme val="minor"/>
      </rPr>
      <t>655</t>
    </r>
    <r>
      <rPr>
        <sz val="11"/>
        <color theme="1"/>
        <rFont val="Aptos Narrow"/>
        <family val="2"/>
        <scheme val="minor"/>
      </rPr>
      <t xml:space="preserve">, representando uma </t>
    </r>
    <r>
      <rPr>
        <b/>
        <sz val="11"/>
        <color theme="1"/>
        <rFont val="Aptos Narrow"/>
        <family val="2"/>
        <scheme val="minor"/>
      </rPr>
      <t>diminuição geral de 50%</t>
    </r>
    <r>
      <rPr>
        <sz val="11"/>
        <color theme="1"/>
        <rFont val="Aptos Narrow"/>
        <family val="2"/>
        <scheme val="minor"/>
      </rPr>
      <t xml:space="preserve"> em relação a ontem.</t>
    </r>
  </si>
  <si>
    <r>
      <t>Hamilton</t>
    </r>
    <r>
      <rPr>
        <sz val="11"/>
        <color theme="1"/>
        <rFont val="Aptos Narrow"/>
        <family val="2"/>
        <scheme val="minor"/>
      </rPr>
      <t xml:space="preserve"> foi o único superintendente que apresentou </t>
    </r>
    <r>
      <rPr>
        <b/>
        <sz val="11"/>
        <color theme="1"/>
        <rFont val="Aptos Narrow"/>
        <family val="2"/>
        <scheme val="minor"/>
      </rPr>
      <t>aumento (+150%)</t>
    </r>
    <r>
      <rPr>
        <sz val="11"/>
        <color theme="1"/>
        <rFont val="Aptos Narrow"/>
        <family val="2"/>
        <scheme val="minor"/>
      </rPr>
      <t xml:space="preserve"> no número de incidentes abertos em relação a ontem.</t>
    </r>
  </si>
  <si>
    <r>
      <t xml:space="preserve">Na comparação semanal, </t>
    </r>
    <r>
      <rPr>
        <b/>
        <sz val="11"/>
        <color theme="1"/>
        <rFont val="Aptos Narrow"/>
        <family val="2"/>
        <scheme val="minor"/>
      </rPr>
      <t>Madureira (-99%) e Cristoni (-75%)</t>
    </r>
    <r>
      <rPr>
        <sz val="11"/>
        <color theme="1"/>
        <rFont val="Aptos Narrow"/>
        <family val="2"/>
        <scheme val="minor"/>
      </rPr>
      <t xml:space="preserve"> obtiveram as maiores reduções.</t>
    </r>
  </si>
  <si>
    <r>
      <t xml:space="preserve">Por outro lado, </t>
    </r>
    <r>
      <rPr>
        <b/>
        <sz val="11"/>
        <color theme="1"/>
        <rFont val="Aptos Narrow"/>
        <family val="2"/>
        <scheme val="minor"/>
      </rPr>
      <t>Felipe Edson (+953%) e Hayashida (+186%)</t>
    </r>
    <r>
      <rPr>
        <sz val="11"/>
        <color theme="1"/>
        <rFont val="Aptos Narrow"/>
        <family val="2"/>
        <scheme val="minor"/>
      </rPr>
      <t xml:space="preserve"> mostraram aumentos significativos no número de incidentes abertos em relação à semana passada, o que merece atenção.</t>
    </r>
  </si>
  <si>
    <t>Este report destaca o volume de incidentes "Novo + Em Progresso", 'Encerrado + Fechado'  por superintendente.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</si>
</sst>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9" fontId="2" fillId="0" borderId="2" xfId="1" applyFont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9" fontId="0" fillId="2" borderId="0" xfId="1" applyFont="1" applyFill="1" applyBorder="1" applyAlignment="1">
      <alignment horizontal="center" vertical="center"/>
    </xf>
    <xf numFmtId="9" fontId="0" fillId="3" borderId="0" xfId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9" fontId="0" fillId="0" borderId="0" xfId="1" applyFont="1" applyFill="1" applyBorder="1" applyAlignment="1">
      <alignment horizontal="center" vertical="center"/>
    </xf>
    <xf numFmtId="9" fontId="2" fillId="0" borderId="1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wrapText="1"/>
    </xf>
    <xf numFmtId="9" fontId="3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9" fontId="2" fillId="0" borderId="0" xfId="0" applyNumberFormat="1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9" fontId="0" fillId="0" borderId="0" xfId="0" applyNumberFormat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 wrapText="1"/>
    </xf>
    <xf numFmtId="0" fontId="0" fillId="0" borderId="2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794824375766587E-2"/>
          <c:y val="8.8316797088584018E-2"/>
          <c:w val="0.96848137535816614"/>
          <c:h val="0.83722098945463086"/>
        </c:manualLayout>
      </c:layout>
      <c:lineChart>
        <c:grouping val="standard"/>
        <c:varyColors val="0"/>
        <c:ser>
          <c:idx val="10"/>
          <c:order val="0"/>
          <c:tx>
            <c:strRef>
              <c:f>'Incidentes x Supte'!$A$30</c:f>
              <c:strCache>
                <c:ptCount val="1"/>
                <c:pt idx="0">
                  <c:v>Madureira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'Incidentes x Supte'!$B$29:$C$29</c:f>
              <c:strCache>
                <c:ptCount val="2"/>
                <c:pt idx="0">
                  <c:v>Report de Ontem</c:v>
                </c:pt>
                <c:pt idx="1">
                  <c:v>Report de Hoje</c:v>
                </c:pt>
              </c:strCache>
            </c:strRef>
          </c:cat>
          <c:val>
            <c:numRef>
              <c:f>'Incidentes x Supte'!$B$30:$C$30</c:f>
              <c:numCache>
                <c:formatCode>0%</c:formatCode>
                <c:ptCount val="2"/>
                <c:pt idx="0">
                  <c:v>0.25</c:v>
                </c:pt>
                <c:pt idx="1">
                  <c:v>0.27777777777777779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113F-4EED-BE7E-4A7F2274FE41}"/>
            </c:ext>
          </c:extLst>
        </c:ser>
        <c:ser>
          <c:idx val="11"/>
          <c:order val="1"/>
          <c:tx>
            <c:strRef>
              <c:f>'Incidentes x Supte'!$A$31</c:f>
              <c:strCache>
                <c:ptCount val="1"/>
                <c:pt idx="0">
                  <c:v>Cristoni</c:v>
                </c:pt>
              </c:strCache>
            </c:strRef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'Incidentes x Supte'!$B$29:$C$29</c:f>
              <c:strCache>
                <c:ptCount val="2"/>
                <c:pt idx="0">
                  <c:v>Report de Ontem</c:v>
                </c:pt>
                <c:pt idx="1">
                  <c:v>Report de Hoje</c:v>
                </c:pt>
              </c:strCache>
            </c:strRef>
          </c:cat>
          <c:val>
            <c:numRef>
              <c:f>'Incidentes x Supte'!$B$31:$C$31</c:f>
              <c:numCache>
                <c:formatCode>0%</c:formatCode>
                <c:ptCount val="2"/>
                <c:pt idx="0">
                  <c:v>0.33333333333333331</c:v>
                </c:pt>
                <c:pt idx="1">
                  <c:v>0.33333333333333331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113F-4EED-BE7E-4A7F2274FE41}"/>
            </c:ext>
          </c:extLst>
        </c:ser>
        <c:ser>
          <c:idx val="12"/>
          <c:order val="2"/>
          <c:tx>
            <c:strRef>
              <c:f>'Incidentes x Supte'!$A$32</c:f>
              <c:strCache>
                <c:ptCount val="1"/>
                <c:pt idx="0">
                  <c:v>Hamilton</c:v>
                </c:pt>
              </c:strCache>
            </c:strRef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'Incidentes x Supte'!$B$29:$C$29</c:f>
              <c:strCache>
                <c:ptCount val="2"/>
                <c:pt idx="0">
                  <c:v>Report de Ontem</c:v>
                </c:pt>
                <c:pt idx="1">
                  <c:v>Report de Hoje</c:v>
                </c:pt>
              </c:strCache>
            </c:strRef>
          </c:cat>
          <c:val>
            <c:numRef>
              <c:f>'Incidentes x Supte'!$B$32:$C$32</c:f>
              <c:numCache>
                <c:formatCode>0%</c:formatCode>
                <c:ptCount val="2"/>
                <c:pt idx="0">
                  <c:v>0.30555555555555558</c:v>
                </c:pt>
                <c:pt idx="1">
                  <c:v>0.30555555555555558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113F-4EED-BE7E-4A7F2274FE41}"/>
            </c:ext>
          </c:extLst>
        </c:ser>
        <c:ser>
          <c:idx val="13"/>
          <c:order val="3"/>
          <c:tx>
            <c:strRef>
              <c:f>'Incidentes x Supte'!$A$33</c:f>
              <c:strCache>
                <c:ptCount val="1"/>
                <c:pt idx="0">
                  <c:v>Felipe Edson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'Incidentes x Supte'!$B$29:$C$29</c:f>
              <c:strCache>
                <c:ptCount val="2"/>
                <c:pt idx="0">
                  <c:v>Report de Ontem</c:v>
                </c:pt>
                <c:pt idx="1">
                  <c:v>Report de Hoje</c:v>
                </c:pt>
              </c:strCache>
            </c:strRef>
          </c:cat>
          <c:val>
            <c:numRef>
              <c:f>'Incidentes x Supte'!$B$33:$C$33</c:f>
              <c:numCache>
                <c:formatCode>0%</c:formatCode>
                <c:ptCount val="2"/>
                <c:pt idx="0">
                  <c:v>7.0000000000000007E-2</c:v>
                </c:pt>
                <c:pt idx="1">
                  <c:v>5.5555555555555552E-2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113F-4EED-BE7E-4A7F2274FE41}"/>
            </c:ext>
          </c:extLst>
        </c:ser>
        <c:ser>
          <c:idx val="14"/>
          <c:order val="4"/>
          <c:tx>
            <c:strRef>
              <c:f>'Incidentes x Supte'!$A$34</c:f>
              <c:strCache>
                <c:ptCount val="1"/>
                <c:pt idx="0">
                  <c:v>Hayashida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'Incidentes x Supte'!$B$29:$C$29</c:f>
              <c:strCache>
                <c:ptCount val="2"/>
                <c:pt idx="0">
                  <c:v>Report de Ontem</c:v>
                </c:pt>
                <c:pt idx="1">
                  <c:v>Report de Hoje</c:v>
                </c:pt>
              </c:strCache>
            </c:strRef>
          </c:cat>
          <c:val>
            <c:numRef>
              <c:f>'Incidentes x Supte'!$B$34:$C$34</c:f>
              <c:numCache>
                <c:formatCode>0%</c:formatCode>
                <c:ptCount val="2"/>
                <c:pt idx="0">
                  <c:v>0.01</c:v>
                </c:pt>
                <c:pt idx="1">
                  <c:v>2.7777777777777776E-2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113F-4EED-BE7E-4A7F2274FE41}"/>
            </c:ext>
          </c:extLst>
        </c:ser>
        <c:ser>
          <c:idx val="15"/>
          <c:order val="5"/>
          <c:tx>
            <c:strRef>
              <c:f>'Incidentes x Supte'!$A$30</c:f>
              <c:strCache>
                <c:ptCount val="1"/>
                <c:pt idx="0">
                  <c:v>Madureira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'Incidentes x Supte'!$B$29:$C$29</c:f>
              <c:strCache>
                <c:ptCount val="2"/>
                <c:pt idx="0">
                  <c:v>Report de Ontem</c:v>
                </c:pt>
                <c:pt idx="1">
                  <c:v>Report de Hoje</c:v>
                </c:pt>
              </c:strCache>
            </c:strRef>
          </c:cat>
          <c:val>
            <c:numRef>
              <c:f>'Incidentes x Supte'!$B$30:$C$30</c:f>
              <c:numCache>
                <c:formatCode>0%</c:formatCode>
                <c:ptCount val="2"/>
                <c:pt idx="0">
                  <c:v>0.25</c:v>
                </c:pt>
                <c:pt idx="1">
                  <c:v>0.27777777777777779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113F-4EED-BE7E-4A7F2274FE41}"/>
            </c:ext>
          </c:extLst>
        </c:ser>
        <c:ser>
          <c:idx val="16"/>
          <c:order val="6"/>
          <c:tx>
            <c:strRef>
              <c:f>'Incidentes x Supte'!$A$31</c:f>
              <c:strCache>
                <c:ptCount val="1"/>
                <c:pt idx="0">
                  <c:v>Cristoni</c:v>
                </c:pt>
              </c:strCache>
            </c:strRef>
          </c:tx>
          <c:spPr>
            <a:ln w="28575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'Incidentes x Supte'!$B$29:$C$29</c:f>
              <c:strCache>
                <c:ptCount val="2"/>
                <c:pt idx="0">
                  <c:v>Report de Ontem</c:v>
                </c:pt>
                <c:pt idx="1">
                  <c:v>Report de Hoje</c:v>
                </c:pt>
              </c:strCache>
            </c:strRef>
          </c:cat>
          <c:val>
            <c:numRef>
              <c:f>'Incidentes x Supte'!$B$31:$C$31</c:f>
              <c:numCache>
                <c:formatCode>0%</c:formatCode>
                <c:ptCount val="2"/>
                <c:pt idx="0">
                  <c:v>0.33333333333333331</c:v>
                </c:pt>
                <c:pt idx="1">
                  <c:v>0.33333333333333331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113F-4EED-BE7E-4A7F2274FE41}"/>
            </c:ext>
          </c:extLst>
        </c:ser>
        <c:ser>
          <c:idx val="17"/>
          <c:order val="7"/>
          <c:tx>
            <c:strRef>
              <c:f>'Incidentes x Supte'!$A$32</c:f>
              <c:strCache>
                <c:ptCount val="1"/>
                <c:pt idx="0">
                  <c:v>Hamilton</c:v>
                </c:pt>
              </c:strCache>
            </c:strRef>
          </c:tx>
          <c:spPr>
            <a:ln w="28575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'Incidentes x Supte'!$B$29:$C$29</c:f>
              <c:strCache>
                <c:ptCount val="2"/>
                <c:pt idx="0">
                  <c:v>Report de Ontem</c:v>
                </c:pt>
                <c:pt idx="1">
                  <c:v>Report de Hoje</c:v>
                </c:pt>
              </c:strCache>
            </c:strRef>
          </c:cat>
          <c:val>
            <c:numRef>
              <c:f>'Incidentes x Supte'!$B$32:$C$32</c:f>
              <c:numCache>
                <c:formatCode>0%</c:formatCode>
                <c:ptCount val="2"/>
                <c:pt idx="0">
                  <c:v>0.30555555555555558</c:v>
                </c:pt>
                <c:pt idx="1">
                  <c:v>0.30555555555555558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113F-4EED-BE7E-4A7F2274FE41}"/>
            </c:ext>
          </c:extLst>
        </c:ser>
        <c:ser>
          <c:idx val="18"/>
          <c:order val="8"/>
          <c:tx>
            <c:strRef>
              <c:f>'Incidentes x Supte'!$A$33</c:f>
              <c:strCache>
                <c:ptCount val="1"/>
                <c:pt idx="0">
                  <c:v>Felipe Edson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'Incidentes x Supte'!$B$29:$C$29</c:f>
              <c:strCache>
                <c:ptCount val="2"/>
                <c:pt idx="0">
                  <c:v>Report de Ontem</c:v>
                </c:pt>
                <c:pt idx="1">
                  <c:v>Report de Hoje</c:v>
                </c:pt>
              </c:strCache>
            </c:strRef>
          </c:cat>
          <c:val>
            <c:numRef>
              <c:f>'Incidentes x Supte'!$B$33:$C$33</c:f>
              <c:numCache>
                <c:formatCode>0%</c:formatCode>
                <c:ptCount val="2"/>
                <c:pt idx="0">
                  <c:v>7.0000000000000007E-2</c:v>
                </c:pt>
                <c:pt idx="1">
                  <c:v>5.5555555555555552E-2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113F-4EED-BE7E-4A7F2274FE41}"/>
            </c:ext>
          </c:extLst>
        </c:ser>
        <c:ser>
          <c:idx val="19"/>
          <c:order val="9"/>
          <c:tx>
            <c:strRef>
              <c:f>'Incidentes x Supte'!$A$34</c:f>
              <c:strCache>
                <c:ptCount val="1"/>
                <c:pt idx="0">
                  <c:v>Hayashida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'Incidentes x Supte'!$B$29:$C$29</c:f>
              <c:strCache>
                <c:ptCount val="2"/>
                <c:pt idx="0">
                  <c:v>Report de Ontem</c:v>
                </c:pt>
                <c:pt idx="1">
                  <c:v>Report de Hoje</c:v>
                </c:pt>
              </c:strCache>
            </c:strRef>
          </c:cat>
          <c:val>
            <c:numRef>
              <c:f>'Incidentes x Supte'!$B$34:$C$34</c:f>
              <c:numCache>
                <c:formatCode>0%</c:formatCode>
                <c:ptCount val="2"/>
                <c:pt idx="0">
                  <c:v>0.01</c:v>
                </c:pt>
                <c:pt idx="1">
                  <c:v>2.7777777777777776E-2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113F-4EED-BE7E-4A7F2274FE41}"/>
            </c:ext>
          </c:extLst>
        </c:ser>
        <c:ser>
          <c:idx val="5"/>
          <c:order val="10"/>
          <c:tx>
            <c:strRef>
              <c:f>'Incidentes x Supte'!$A$30</c:f>
              <c:strCache>
                <c:ptCount val="1"/>
                <c:pt idx="0">
                  <c:v>Madureira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'Incidentes x Supte'!$B$29:$C$29</c:f>
              <c:strCache>
                <c:ptCount val="2"/>
                <c:pt idx="0">
                  <c:v>Report de Ontem</c:v>
                </c:pt>
                <c:pt idx="1">
                  <c:v>Report de Hoje</c:v>
                </c:pt>
              </c:strCache>
            </c:strRef>
          </c:cat>
          <c:val>
            <c:numRef>
              <c:f>'Incidentes x Supte'!$B$30:$C$30</c:f>
              <c:numCache>
                <c:formatCode>0%</c:formatCode>
                <c:ptCount val="2"/>
                <c:pt idx="0">
                  <c:v>0.25</c:v>
                </c:pt>
                <c:pt idx="1">
                  <c:v>0.27777777777777779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13F-4EED-BE7E-4A7F2274FE41}"/>
            </c:ext>
          </c:extLst>
        </c:ser>
        <c:ser>
          <c:idx val="6"/>
          <c:order val="11"/>
          <c:tx>
            <c:strRef>
              <c:f>'Incidentes x Supte'!$A$31</c:f>
              <c:strCache>
                <c:ptCount val="1"/>
                <c:pt idx="0">
                  <c:v>Cristoni</c:v>
                </c:pt>
              </c:strCache>
            </c:strRef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'Incidentes x Supte'!$B$29:$C$29</c:f>
              <c:strCache>
                <c:ptCount val="2"/>
                <c:pt idx="0">
                  <c:v>Report de Ontem</c:v>
                </c:pt>
                <c:pt idx="1">
                  <c:v>Report de Hoje</c:v>
                </c:pt>
              </c:strCache>
            </c:strRef>
          </c:cat>
          <c:val>
            <c:numRef>
              <c:f>'Incidentes x Supte'!$B$31:$C$31</c:f>
              <c:numCache>
                <c:formatCode>0%</c:formatCode>
                <c:ptCount val="2"/>
                <c:pt idx="0">
                  <c:v>0.33333333333333331</c:v>
                </c:pt>
                <c:pt idx="1">
                  <c:v>0.33333333333333331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13F-4EED-BE7E-4A7F2274FE41}"/>
            </c:ext>
          </c:extLst>
        </c:ser>
        <c:ser>
          <c:idx val="7"/>
          <c:order val="12"/>
          <c:tx>
            <c:strRef>
              <c:f>'Incidentes x Supte'!$A$32</c:f>
              <c:strCache>
                <c:ptCount val="1"/>
                <c:pt idx="0">
                  <c:v>Hamilton</c:v>
                </c:pt>
              </c:strCache>
            </c:strRef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'Incidentes x Supte'!$B$29:$C$29</c:f>
              <c:strCache>
                <c:ptCount val="2"/>
                <c:pt idx="0">
                  <c:v>Report de Ontem</c:v>
                </c:pt>
                <c:pt idx="1">
                  <c:v>Report de Hoje</c:v>
                </c:pt>
              </c:strCache>
            </c:strRef>
          </c:cat>
          <c:val>
            <c:numRef>
              <c:f>'Incidentes x Supte'!$B$32:$C$32</c:f>
              <c:numCache>
                <c:formatCode>0%</c:formatCode>
                <c:ptCount val="2"/>
                <c:pt idx="0">
                  <c:v>0.30555555555555558</c:v>
                </c:pt>
                <c:pt idx="1">
                  <c:v>0.30555555555555558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13F-4EED-BE7E-4A7F2274FE41}"/>
            </c:ext>
          </c:extLst>
        </c:ser>
        <c:ser>
          <c:idx val="8"/>
          <c:order val="13"/>
          <c:tx>
            <c:strRef>
              <c:f>'Incidentes x Supte'!$A$33</c:f>
              <c:strCache>
                <c:ptCount val="1"/>
                <c:pt idx="0">
                  <c:v>Felipe Edson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'Incidentes x Supte'!$B$29:$C$29</c:f>
              <c:strCache>
                <c:ptCount val="2"/>
                <c:pt idx="0">
                  <c:v>Report de Ontem</c:v>
                </c:pt>
                <c:pt idx="1">
                  <c:v>Report de Hoje</c:v>
                </c:pt>
              </c:strCache>
            </c:strRef>
          </c:cat>
          <c:val>
            <c:numRef>
              <c:f>'Incidentes x Supte'!$B$33:$C$33</c:f>
              <c:numCache>
                <c:formatCode>0%</c:formatCode>
                <c:ptCount val="2"/>
                <c:pt idx="0">
                  <c:v>7.0000000000000007E-2</c:v>
                </c:pt>
                <c:pt idx="1">
                  <c:v>5.5555555555555552E-2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13F-4EED-BE7E-4A7F2274FE41}"/>
            </c:ext>
          </c:extLst>
        </c:ser>
        <c:ser>
          <c:idx val="9"/>
          <c:order val="14"/>
          <c:tx>
            <c:strRef>
              <c:f>'Incidentes x Supte'!$A$34</c:f>
              <c:strCache>
                <c:ptCount val="1"/>
                <c:pt idx="0">
                  <c:v>Hayashida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'Incidentes x Supte'!$B$29:$C$29</c:f>
              <c:strCache>
                <c:ptCount val="2"/>
                <c:pt idx="0">
                  <c:v>Report de Ontem</c:v>
                </c:pt>
                <c:pt idx="1">
                  <c:v>Report de Hoje</c:v>
                </c:pt>
              </c:strCache>
            </c:strRef>
          </c:cat>
          <c:val>
            <c:numRef>
              <c:f>'Incidentes x Supte'!$B$34:$C$34</c:f>
              <c:numCache>
                <c:formatCode>0%</c:formatCode>
                <c:ptCount val="2"/>
                <c:pt idx="0">
                  <c:v>0.01</c:v>
                </c:pt>
                <c:pt idx="1">
                  <c:v>2.7777777777777776E-2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13F-4EED-BE7E-4A7F2274FE41}"/>
            </c:ext>
          </c:extLst>
        </c:ser>
        <c:ser>
          <c:idx val="0"/>
          <c:order val="15"/>
          <c:tx>
            <c:strRef>
              <c:f>'Incidentes x Supte'!$A$30</c:f>
              <c:strCache>
                <c:ptCount val="1"/>
                <c:pt idx="0">
                  <c:v>Madureira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'Incidentes x Supte'!$B$29:$C$29</c:f>
              <c:strCache>
                <c:ptCount val="2"/>
                <c:pt idx="0">
                  <c:v>Report de Ontem</c:v>
                </c:pt>
                <c:pt idx="1">
                  <c:v>Report de Hoje</c:v>
                </c:pt>
              </c:strCache>
            </c:strRef>
          </c:cat>
          <c:val>
            <c:numRef>
              <c:f>'Incidentes x Supte'!$B$30:$C$30</c:f>
              <c:numCache>
                <c:formatCode>0%</c:formatCode>
                <c:ptCount val="2"/>
                <c:pt idx="0">
                  <c:v>0.25</c:v>
                </c:pt>
                <c:pt idx="1">
                  <c:v>0.27777777777777779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13F-4EED-BE7E-4A7F2274FE41}"/>
            </c:ext>
          </c:extLst>
        </c:ser>
        <c:ser>
          <c:idx val="1"/>
          <c:order val="16"/>
          <c:tx>
            <c:strRef>
              <c:f>'Incidentes x Supte'!$A$31</c:f>
              <c:strCache>
                <c:ptCount val="1"/>
                <c:pt idx="0">
                  <c:v>Cristoni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'Incidentes x Supte'!$B$29:$C$29</c:f>
              <c:strCache>
                <c:ptCount val="2"/>
                <c:pt idx="0">
                  <c:v>Report de Ontem</c:v>
                </c:pt>
                <c:pt idx="1">
                  <c:v>Report de Hoje</c:v>
                </c:pt>
              </c:strCache>
            </c:strRef>
          </c:cat>
          <c:val>
            <c:numRef>
              <c:f>'Incidentes x Supte'!$B$31:$C$31</c:f>
              <c:numCache>
                <c:formatCode>0%</c:formatCode>
                <c:ptCount val="2"/>
                <c:pt idx="0">
                  <c:v>0.33333333333333331</c:v>
                </c:pt>
                <c:pt idx="1">
                  <c:v>0.33333333333333331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113F-4EED-BE7E-4A7F2274FE41}"/>
            </c:ext>
          </c:extLst>
        </c:ser>
        <c:ser>
          <c:idx val="2"/>
          <c:order val="17"/>
          <c:tx>
            <c:strRef>
              <c:f>'Incidentes x Supte'!$A$32</c:f>
              <c:strCache>
                <c:ptCount val="1"/>
                <c:pt idx="0">
                  <c:v>Hamilton</c:v>
                </c:pt>
              </c:strCache>
            </c:strRef>
          </c:tx>
          <c:spPr>
            <a:ln w="28575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bubble3D val="0"/>
            <c:spPr>
              <a:ln w="28575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5-113F-4EED-BE7E-4A7F2274FE4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'Incidentes x Supte'!$B$29:$C$29</c:f>
              <c:strCache>
                <c:ptCount val="2"/>
                <c:pt idx="0">
                  <c:v>Report de Ontem</c:v>
                </c:pt>
                <c:pt idx="1">
                  <c:v>Report de Hoje</c:v>
                </c:pt>
              </c:strCache>
            </c:strRef>
          </c:cat>
          <c:val>
            <c:numRef>
              <c:f>'Incidentes x Supte'!$B$32:$C$32</c:f>
              <c:numCache>
                <c:formatCode>0%</c:formatCode>
                <c:ptCount val="2"/>
                <c:pt idx="0">
                  <c:v>0.30555555555555558</c:v>
                </c:pt>
                <c:pt idx="1">
                  <c:v>0.30555555555555558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113F-4EED-BE7E-4A7F2274FE41}"/>
            </c:ext>
          </c:extLst>
        </c:ser>
        <c:ser>
          <c:idx val="3"/>
          <c:order val="18"/>
          <c:tx>
            <c:strRef>
              <c:f>'Incidentes x Supte'!$A$33</c:f>
              <c:strCache>
                <c:ptCount val="1"/>
                <c:pt idx="0">
                  <c:v>Felipe Edson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'Incidentes x Supte'!$B$29:$C$29</c:f>
              <c:strCache>
                <c:ptCount val="2"/>
                <c:pt idx="0">
                  <c:v>Report de Ontem</c:v>
                </c:pt>
                <c:pt idx="1">
                  <c:v>Report de Hoje</c:v>
                </c:pt>
              </c:strCache>
            </c:strRef>
          </c:cat>
          <c:val>
            <c:numRef>
              <c:f>'Incidentes x Supte'!$B$33:$C$33</c:f>
              <c:numCache>
                <c:formatCode>0%</c:formatCode>
                <c:ptCount val="2"/>
                <c:pt idx="0">
                  <c:v>7.0000000000000007E-2</c:v>
                </c:pt>
                <c:pt idx="1">
                  <c:v>5.5555555555555552E-2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113F-4EED-BE7E-4A7F2274FE41}"/>
            </c:ext>
          </c:extLst>
        </c:ser>
        <c:ser>
          <c:idx val="4"/>
          <c:order val="19"/>
          <c:tx>
            <c:strRef>
              <c:f>'Incidentes x Supte'!$A$34</c:f>
              <c:strCache>
                <c:ptCount val="1"/>
                <c:pt idx="0">
                  <c:v>Hayashida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'Incidentes x Supte'!$B$29:$C$29</c:f>
              <c:strCache>
                <c:ptCount val="2"/>
                <c:pt idx="0">
                  <c:v>Report de Ontem</c:v>
                </c:pt>
                <c:pt idx="1">
                  <c:v>Report de Hoje</c:v>
                </c:pt>
              </c:strCache>
            </c:strRef>
          </c:cat>
          <c:val>
            <c:numRef>
              <c:f>'Incidentes x Supte'!$B$34:$C$34</c:f>
              <c:numCache>
                <c:formatCode>0%</c:formatCode>
                <c:ptCount val="2"/>
                <c:pt idx="0">
                  <c:v>0.01</c:v>
                </c:pt>
                <c:pt idx="1">
                  <c:v>2.7777777777777776E-2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113F-4EED-BE7E-4A7F2274FE4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90480511"/>
        <c:axId val="290482431"/>
      </c:lineChart>
      <c:catAx>
        <c:axId val="290480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pt-BR"/>
          </a:p>
        </c:txPr>
        <c:crossAx val="290482431"/>
        <c:crosses val="autoZero"/>
        <c:auto val="1"/>
        <c:lblAlgn val="ctr"/>
        <c:lblOffset val="100"/>
        <c:noMultiLvlLbl val="0"/>
      </c:catAx>
      <c:valAx>
        <c:axId val="290482431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9048051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 sz="1500" b="0">
          <a:latin typeface="+mj-lt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Quantidade</a:t>
            </a:r>
            <a:r>
              <a:rPr lang="pt-BR" b="1" baseline="0"/>
              <a:t> de Incidentes x Peso x Superintendente</a:t>
            </a:r>
            <a:endParaRPr lang="pt-B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'Incidentes x Supte'!$B$2</c:f>
              <c:strCache>
                <c:ptCount val="1"/>
                <c:pt idx="0">
                  <c:v>Novo + Em Progresso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'Incidentes x Supte'!$A$3:$A$7</c:f>
              <c:strCache>
                <c:ptCount val="5"/>
                <c:pt idx="0">
                  <c:v>Cristoni</c:v>
                </c:pt>
                <c:pt idx="1">
                  <c:v>Hamilton</c:v>
                </c:pt>
                <c:pt idx="2">
                  <c:v>Rodrigo Macia</c:v>
                </c:pt>
                <c:pt idx="3">
                  <c:v>Felipe Edson</c:v>
                </c:pt>
                <c:pt idx="4">
                  <c:v>Hayashida</c:v>
                </c:pt>
              </c:strCache>
            </c:strRef>
          </c:cat>
          <c:val>
            <c:numRef>
              <c:f>'Incidentes x Supte'!$B$3:$B$7</c:f>
              <c:numCache>
                <c:formatCode>General</c:formatCode>
                <c:ptCount val="5"/>
                <c:pt idx="0">
                  <c:v>600</c:v>
                </c:pt>
                <c:pt idx="1">
                  <c:v>550</c:v>
                </c:pt>
                <c:pt idx="2">
                  <c:v>500</c:v>
                </c:pt>
                <c:pt idx="3">
                  <c:v>100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01-4EC2-8F60-14595461EC2D}"/>
            </c:ext>
          </c:extLst>
        </c:ser>
        <c:ser>
          <c:idx val="1"/>
          <c:order val="1"/>
          <c:tx>
            <c:strRef>
              <c:f>'Incidentes x Supte'!$C$2</c:f>
              <c:strCache>
                <c:ptCount val="1"/>
                <c:pt idx="0">
                  <c:v>Fechado + Encerrado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0350007276832452E-3"/>
                  <c:y val="9.449986011044214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A01-4EC2-8F60-14595461EC2D}"/>
                </c:ext>
              </c:extLst>
            </c:dLbl>
            <c:dLbl>
              <c:idx val="1"/>
              <c:layout>
                <c:manualLayout>
                  <c:x val="-1.1128207447503193E-16"/>
                  <c:y val="6.299990674029495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A01-4EC2-8F60-14595461EC2D}"/>
                </c:ext>
              </c:extLst>
            </c:dLbl>
            <c:dLbl>
              <c:idx val="2"/>
              <c:layout>
                <c:manualLayout>
                  <c:x val="0"/>
                  <c:y val="6.299990674029438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A01-4EC2-8F60-14595461EC2D}"/>
                </c:ext>
              </c:extLst>
            </c:dLbl>
            <c:dLbl>
              <c:idx val="3"/>
              <c:layout>
                <c:manualLayout>
                  <c:x val="0"/>
                  <c:y val="1.53655284352806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A01-4EC2-8F60-14595461EC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'Incidentes x Supte'!$A$3:$A$7</c:f>
              <c:strCache>
                <c:ptCount val="5"/>
                <c:pt idx="0">
                  <c:v>Cristoni</c:v>
                </c:pt>
                <c:pt idx="1">
                  <c:v>Hamilton</c:v>
                </c:pt>
                <c:pt idx="2">
                  <c:v>Rodrigo Macia</c:v>
                </c:pt>
                <c:pt idx="3">
                  <c:v>Felipe Edson</c:v>
                </c:pt>
                <c:pt idx="4">
                  <c:v>Hayashida</c:v>
                </c:pt>
              </c:strCache>
            </c:strRef>
          </c:cat>
          <c:val>
            <c:numRef>
              <c:f>'Incidentes x Supte'!$C$3:$C$7</c:f>
              <c:numCache>
                <c:formatCode>General</c:formatCode>
                <c:ptCount val="5"/>
                <c:pt idx="0">
                  <c:v>200</c:v>
                </c:pt>
                <c:pt idx="1">
                  <c:v>300</c:v>
                </c:pt>
                <c:pt idx="2">
                  <c:v>100</c:v>
                </c:pt>
                <c:pt idx="3">
                  <c:v>150</c:v>
                </c:pt>
                <c:pt idx="4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01-4EC2-8F60-14595461EC2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75134223"/>
        <c:axId val="475119823"/>
      </c:barChart>
      <c:catAx>
        <c:axId val="4751342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119823"/>
        <c:crosses val="autoZero"/>
        <c:auto val="1"/>
        <c:lblAlgn val="ctr"/>
        <c:lblOffset val="100"/>
        <c:noMultiLvlLbl val="0"/>
      </c:catAx>
      <c:valAx>
        <c:axId val="47511982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134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279401</xdr:colOff>
      <xdr:row>25</xdr:row>
      <xdr:rowOff>57726</xdr:rowOff>
    </xdr:from>
    <xdr:to>
      <xdr:col>6</xdr:col>
      <xdr:colOff>1662545</xdr:colOff>
      <xdr:row>51</xdr:row>
      <xdr:rowOff>669635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77F4307-83E1-06AC-03C4-E13DDD1F12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281780</xdr:colOff>
      <xdr:row>2</xdr:row>
      <xdr:rowOff>3570</xdr:rowOff>
    </xdr:from>
    <xdr:to>
      <xdr:col>12</xdr:col>
      <xdr:colOff>440042</xdr:colOff>
      <xdr:row>24</xdr:row>
      <xdr:rowOff>77885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87160F7-8AD6-BF11-E4E3-1F240CC5D1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9CDEB-AEF9-4023-808C-85669847A5BF}">
  <dimension ref="A1:I31"/>
  <sheetViews>
    <sheetView topLeftCell="A4" zoomScale="70" zoomScaleNormal="70" workbookViewId="0">
      <selection activeCell="A25" sqref="A25:H31"/>
    </sheetView>
  </sheetViews>
  <sheetFormatPr defaultRowHeight="14.4" x14ac:dyDescent="0.3"/>
  <cols>
    <col min="1" max="1" width="26.77734375" style="1" bestFit="1" customWidth="1"/>
    <col min="2" max="2" width="35.88671875" style="1" bestFit="1" customWidth="1"/>
    <col min="3" max="3" width="34.109375" style="1" bestFit="1" customWidth="1"/>
    <col min="4" max="4" width="29.33203125" style="1" bestFit="1" customWidth="1"/>
    <col min="5" max="5" width="30.88671875" style="1" bestFit="1" customWidth="1"/>
    <col min="6" max="6" width="31.6640625" style="1" bestFit="1" customWidth="1"/>
    <col min="7" max="7" width="44.44140625" style="1" bestFit="1" customWidth="1"/>
    <col min="8" max="8" width="32.21875" style="1" bestFit="1" customWidth="1"/>
    <col min="9" max="9" width="23.5546875" style="1" bestFit="1" customWidth="1"/>
    <col min="10" max="16384" width="8.88671875" style="1"/>
  </cols>
  <sheetData>
    <row r="1" spans="1:7" x14ac:dyDescent="0.3">
      <c r="A1" s="8" t="s">
        <v>0</v>
      </c>
      <c r="B1" s="8" t="s">
        <v>1</v>
      </c>
      <c r="C1" s="8" t="s">
        <v>2</v>
      </c>
      <c r="D1" s="8" t="s">
        <v>8</v>
      </c>
      <c r="E1" s="8" t="s">
        <v>20</v>
      </c>
      <c r="F1" s="8" t="s">
        <v>21</v>
      </c>
      <c r="G1" s="8" t="s">
        <v>30</v>
      </c>
    </row>
    <row r="2" spans="1:7" x14ac:dyDescent="0.3">
      <c r="A2" s="1" t="s">
        <v>29</v>
      </c>
      <c r="B2" s="11">
        <v>500</v>
      </c>
      <c r="C2" s="14">
        <v>100</v>
      </c>
      <c r="D2" s="2">
        <f>SUM(B2:C2)</f>
        <v>600</v>
      </c>
      <c r="E2" s="12">
        <f>B2*$D$8/$B$7</f>
        <v>0.27777777777777779</v>
      </c>
      <c r="F2" s="13">
        <f>C2*$D$8/$C$7</f>
        <v>0.10869565217391304</v>
      </c>
      <c r="G2" s="5">
        <f>D2*$D$8/$D$7</f>
        <v>0.22058823529411764</v>
      </c>
    </row>
    <row r="3" spans="1:7" x14ac:dyDescent="0.3">
      <c r="A3" s="1" t="s">
        <v>3</v>
      </c>
      <c r="B3" s="11">
        <v>600</v>
      </c>
      <c r="C3" s="14">
        <v>200</v>
      </c>
      <c r="D3" s="2">
        <f t="shared" ref="D3:D6" si="0">SUM(B3:C3)</f>
        <v>800</v>
      </c>
      <c r="E3" s="12">
        <f t="shared" ref="E3:E6" si="1">B3*$D$8/$B$7</f>
        <v>0.33333333333333331</v>
      </c>
      <c r="F3" s="13">
        <f t="shared" ref="F3:F6" si="2">C3*$D$8/$C$7</f>
        <v>0.21739130434782608</v>
      </c>
      <c r="G3" s="5">
        <f>D3*$D$8/$D$7</f>
        <v>0.29411764705882354</v>
      </c>
    </row>
    <row r="4" spans="1:7" x14ac:dyDescent="0.3">
      <c r="A4" s="1" t="s">
        <v>6</v>
      </c>
      <c r="B4" s="11">
        <v>550</v>
      </c>
      <c r="C4" s="14">
        <v>300</v>
      </c>
      <c r="D4" s="2">
        <f t="shared" si="0"/>
        <v>850</v>
      </c>
      <c r="E4" s="12">
        <f t="shared" si="1"/>
        <v>0.30555555555555558</v>
      </c>
      <c r="F4" s="13">
        <f t="shared" si="2"/>
        <v>0.32608695652173914</v>
      </c>
      <c r="G4" s="5">
        <f t="shared" ref="G4:G6" si="3">D4*$D$8/$D$7</f>
        <v>0.3125</v>
      </c>
    </row>
    <row r="5" spans="1:7" x14ac:dyDescent="0.3">
      <c r="A5" s="1" t="s">
        <v>7</v>
      </c>
      <c r="B5" s="11">
        <v>100</v>
      </c>
      <c r="C5" s="14">
        <v>150</v>
      </c>
      <c r="D5" s="2">
        <f t="shared" si="0"/>
        <v>250</v>
      </c>
      <c r="E5" s="12">
        <f t="shared" si="1"/>
        <v>5.5555555555555552E-2</v>
      </c>
      <c r="F5" s="13">
        <f t="shared" si="2"/>
        <v>0.16304347826086957</v>
      </c>
      <c r="G5" s="5">
        <f t="shared" si="3"/>
        <v>9.1911764705882359E-2</v>
      </c>
    </row>
    <row r="6" spans="1:7" x14ac:dyDescent="0.3">
      <c r="A6" s="1" t="s">
        <v>4</v>
      </c>
      <c r="B6" s="11">
        <v>50</v>
      </c>
      <c r="C6" s="14">
        <v>170</v>
      </c>
      <c r="D6" s="2">
        <f t="shared" si="0"/>
        <v>220</v>
      </c>
      <c r="E6" s="12">
        <f t="shared" si="1"/>
        <v>2.7777777777777776E-2</v>
      </c>
      <c r="F6" s="13">
        <f t="shared" si="2"/>
        <v>0.18478260869565216</v>
      </c>
      <c r="G6" s="5">
        <f t="shared" si="3"/>
        <v>8.0882352941176475E-2</v>
      </c>
    </row>
    <row r="7" spans="1:7" x14ac:dyDescent="0.3">
      <c r="A7" s="3" t="s">
        <v>9</v>
      </c>
      <c r="B7" s="3">
        <f>SUM(B2:B6)</f>
        <v>1800</v>
      </c>
      <c r="C7" s="3">
        <f>SUM(C2:C6)</f>
        <v>920</v>
      </c>
      <c r="D7" s="3">
        <f>SUM(B7:C7)</f>
        <v>2720</v>
      </c>
    </row>
    <row r="8" spans="1:7" x14ac:dyDescent="0.3">
      <c r="A8" s="3" t="s">
        <v>10</v>
      </c>
      <c r="B8" s="16">
        <f>B7*$D$8/$D$7</f>
        <v>0.66176470588235292</v>
      </c>
      <c r="C8" s="16">
        <f>C7*$D$8/$D$7</f>
        <v>0.33823529411764708</v>
      </c>
      <c r="D8" s="10">
        <v>1</v>
      </c>
      <c r="E8" s="5"/>
    </row>
    <row r="9" spans="1:7" x14ac:dyDescent="0.3">
      <c r="B9" s="6"/>
    </row>
    <row r="10" spans="1:7" x14ac:dyDescent="0.3">
      <c r="A10" s="8" t="s">
        <v>0</v>
      </c>
      <c r="B10" s="8" t="s">
        <v>31</v>
      </c>
      <c r="C10" s="8" t="s">
        <v>32</v>
      </c>
    </row>
    <row r="11" spans="1:7" x14ac:dyDescent="0.3">
      <c r="A11" s="2" t="s">
        <v>5</v>
      </c>
      <c r="B11" s="5">
        <v>0.25</v>
      </c>
      <c r="C11" s="12">
        <v>0.27777777777777779</v>
      </c>
    </row>
    <row r="12" spans="1:7" x14ac:dyDescent="0.3">
      <c r="A12" s="2" t="s">
        <v>3</v>
      </c>
      <c r="B12" s="5">
        <v>0.33333333333333331</v>
      </c>
      <c r="C12" s="12">
        <v>0.33333333333333331</v>
      </c>
    </row>
    <row r="13" spans="1:7" x14ac:dyDescent="0.3">
      <c r="A13" s="2" t="s">
        <v>6</v>
      </c>
      <c r="B13" s="5">
        <v>0.30555555555555558</v>
      </c>
      <c r="C13" s="12">
        <v>0.30555555555555558</v>
      </c>
    </row>
    <row r="14" spans="1:7" x14ac:dyDescent="0.3">
      <c r="A14" s="2" t="s">
        <v>7</v>
      </c>
      <c r="B14" s="5">
        <v>7.0000000000000007E-2</v>
      </c>
      <c r="C14" s="12">
        <v>5.5555555555555552E-2</v>
      </c>
    </row>
    <row r="15" spans="1:7" x14ac:dyDescent="0.3">
      <c r="A15" s="2" t="s">
        <v>4</v>
      </c>
      <c r="B15" s="5">
        <v>0.01</v>
      </c>
      <c r="C15" s="12">
        <v>2.7777777777777776E-2</v>
      </c>
    </row>
    <row r="17" spans="1:9" x14ac:dyDescent="0.3">
      <c r="A17" s="8" t="s">
        <v>0</v>
      </c>
      <c r="B17" s="8" t="s">
        <v>22</v>
      </c>
      <c r="C17" s="8" t="s">
        <v>23</v>
      </c>
      <c r="D17" s="8" t="s">
        <v>24</v>
      </c>
      <c r="E17" s="8" t="s">
        <v>25</v>
      </c>
      <c r="F17" s="8" t="s">
        <v>26</v>
      </c>
      <c r="G17" s="8" t="s">
        <v>13</v>
      </c>
      <c r="H17" s="8" t="s">
        <v>14</v>
      </c>
      <c r="I17" s="8" t="s">
        <v>15</v>
      </c>
    </row>
    <row r="18" spans="1:9" x14ac:dyDescent="0.3">
      <c r="A18" s="1" t="s">
        <v>5</v>
      </c>
      <c r="B18" s="1">
        <v>100</v>
      </c>
      <c r="C18" s="1">
        <v>300</v>
      </c>
      <c r="D18" s="11">
        <v>500</v>
      </c>
      <c r="E18" s="12">
        <f>D18*$D$8/$D$23</f>
        <v>0.27777777777777779</v>
      </c>
      <c r="F18" s="5">
        <f>(D18-C18)/C18</f>
        <v>0.66666666666666663</v>
      </c>
      <c r="G18" s="1" t="s">
        <v>19</v>
      </c>
      <c r="H18" s="5">
        <f>(D18-B18)/D18</f>
        <v>0.8</v>
      </c>
      <c r="I18" s="1" t="s">
        <v>19</v>
      </c>
    </row>
    <row r="19" spans="1:9" x14ac:dyDescent="0.3">
      <c r="A19" s="1" t="s">
        <v>3</v>
      </c>
      <c r="B19" s="1">
        <v>50</v>
      </c>
      <c r="C19" s="1">
        <v>250</v>
      </c>
      <c r="D19" s="11">
        <v>600</v>
      </c>
      <c r="E19" s="12">
        <f>D19*$D$8/$D$23</f>
        <v>0.33333333333333331</v>
      </c>
      <c r="F19" s="5">
        <f t="shared" ref="F19:F23" si="4">(D19-C19)/C19</f>
        <v>1.4</v>
      </c>
      <c r="G19" s="1" t="s">
        <v>19</v>
      </c>
      <c r="H19" s="5">
        <f t="shared" ref="H19:H23" si="5">(D19-B19)/D19</f>
        <v>0.91666666666666663</v>
      </c>
      <c r="I19" s="1" t="s">
        <v>19</v>
      </c>
    </row>
    <row r="20" spans="1:9" x14ac:dyDescent="0.3">
      <c r="A20" s="1" t="s">
        <v>6</v>
      </c>
      <c r="B20" s="1">
        <v>100</v>
      </c>
      <c r="C20" s="1">
        <v>400</v>
      </c>
      <c r="D20" s="11">
        <v>550</v>
      </c>
      <c r="E20" s="12">
        <f>D20*$D$8/$D$23</f>
        <v>0.30555555555555558</v>
      </c>
      <c r="F20" s="5">
        <f t="shared" si="4"/>
        <v>0.375</v>
      </c>
      <c r="G20" s="1" t="s">
        <v>19</v>
      </c>
      <c r="H20" s="5">
        <f t="shared" si="5"/>
        <v>0.81818181818181823</v>
      </c>
      <c r="I20" s="1" t="s">
        <v>19</v>
      </c>
    </row>
    <row r="21" spans="1:9" x14ac:dyDescent="0.3">
      <c r="A21" s="1" t="s">
        <v>7</v>
      </c>
      <c r="B21" s="1">
        <v>80</v>
      </c>
      <c r="C21" s="1">
        <v>90</v>
      </c>
      <c r="D21" s="11">
        <v>100</v>
      </c>
      <c r="E21" s="12">
        <f>D21*$D$8/$D$23</f>
        <v>5.5555555555555552E-2</v>
      </c>
      <c r="F21" s="5">
        <f t="shared" si="4"/>
        <v>0.1111111111111111</v>
      </c>
      <c r="G21" s="1" t="s">
        <v>19</v>
      </c>
      <c r="H21" s="5">
        <f t="shared" si="5"/>
        <v>0.2</v>
      </c>
      <c r="I21" s="1" t="s">
        <v>19</v>
      </c>
    </row>
    <row r="22" spans="1:9" x14ac:dyDescent="0.3">
      <c r="A22" s="1" t="s">
        <v>4</v>
      </c>
      <c r="B22" s="1">
        <v>10</v>
      </c>
      <c r="C22" s="1">
        <v>15</v>
      </c>
      <c r="D22" s="11">
        <v>50</v>
      </c>
      <c r="E22" s="12">
        <f>D22*$D$8/$D$23</f>
        <v>2.7777777777777776E-2</v>
      </c>
      <c r="F22" s="5">
        <f t="shared" si="4"/>
        <v>2.3333333333333335</v>
      </c>
      <c r="G22" s="1" t="s">
        <v>19</v>
      </c>
      <c r="H22" s="5">
        <f t="shared" si="5"/>
        <v>0.8</v>
      </c>
      <c r="I22" s="1" t="s">
        <v>19</v>
      </c>
    </row>
    <row r="23" spans="1:9" x14ac:dyDescent="0.3">
      <c r="A23" s="7" t="s">
        <v>9</v>
      </c>
      <c r="B23" s="7">
        <f>SUM(B18:B22)</f>
        <v>340</v>
      </c>
      <c r="C23" s="7">
        <f>SUM(C18:C22)</f>
        <v>1055</v>
      </c>
      <c r="D23" s="7">
        <f>SUM(D18:D22)</f>
        <v>1800</v>
      </c>
      <c r="E23" s="9">
        <f>D23*$D$8/$D$23</f>
        <v>1</v>
      </c>
      <c r="F23" s="9">
        <f t="shared" si="4"/>
        <v>0.70616113744075826</v>
      </c>
      <c r="G23" s="7" t="s">
        <v>19</v>
      </c>
      <c r="H23" s="9">
        <f t="shared" si="5"/>
        <v>0.81111111111111112</v>
      </c>
      <c r="I23" s="7" t="s">
        <v>19</v>
      </c>
    </row>
    <row r="25" spans="1:9" x14ac:dyDescent="0.3">
      <c r="A25" s="8" t="s">
        <v>0</v>
      </c>
      <c r="B25" s="8" t="s">
        <v>16</v>
      </c>
      <c r="C25" s="8" t="s">
        <v>17</v>
      </c>
      <c r="D25" s="8" t="s">
        <v>11</v>
      </c>
      <c r="E25" s="8" t="s">
        <v>12</v>
      </c>
      <c r="F25" s="8" t="s">
        <v>13</v>
      </c>
      <c r="G25" s="8" t="s">
        <v>14</v>
      </c>
      <c r="H25" s="8" t="s">
        <v>15</v>
      </c>
    </row>
    <row r="26" spans="1:9" x14ac:dyDescent="0.3">
      <c r="A26" s="1" t="s">
        <v>5</v>
      </c>
      <c r="B26" s="1">
        <v>500</v>
      </c>
      <c r="C26" s="1">
        <v>10</v>
      </c>
      <c r="D26" s="1">
        <v>5</v>
      </c>
      <c r="E26" s="5">
        <f>((D26-C26)/C26)</f>
        <v>-0.5</v>
      </c>
      <c r="F26" s="1" t="s">
        <v>18</v>
      </c>
      <c r="G26" s="5">
        <f>(D26-B26)/B26</f>
        <v>-0.99</v>
      </c>
      <c r="H26" s="1" t="s">
        <v>18</v>
      </c>
    </row>
    <row r="27" spans="1:9" x14ac:dyDescent="0.3">
      <c r="A27" s="1" t="s">
        <v>3</v>
      </c>
      <c r="B27" s="1">
        <v>400</v>
      </c>
      <c r="C27" s="1">
        <v>300</v>
      </c>
      <c r="D27" s="1">
        <v>100</v>
      </c>
      <c r="E27" s="5">
        <f>((D27-C27)/C27)</f>
        <v>-0.66666666666666663</v>
      </c>
      <c r="F27" s="1" t="s">
        <v>18</v>
      </c>
      <c r="G27" s="5">
        <f>(D27-B27)/B27</f>
        <v>-0.75</v>
      </c>
      <c r="H27" s="1" t="s">
        <v>18</v>
      </c>
    </row>
    <row r="28" spans="1:9" x14ac:dyDescent="0.3">
      <c r="A28" s="1" t="s">
        <v>6</v>
      </c>
      <c r="B28" s="1">
        <v>300</v>
      </c>
      <c r="C28" s="1">
        <v>100</v>
      </c>
      <c r="D28" s="1">
        <v>250</v>
      </c>
      <c r="E28" s="5">
        <f t="shared" ref="E28:E31" si="6">((D28-C28)/C28)</f>
        <v>1.5</v>
      </c>
      <c r="F28" s="1" t="s">
        <v>19</v>
      </c>
      <c r="G28" s="5">
        <f t="shared" ref="G28:G31" si="7">(D28-B28)/B28</f>
        <v>-0.16666666666666666</v>
      </c>
      <c r="H28" s="1" t="s">
        <v>18</v>
      </c>
    </row>
    <row r="29" spans="1:9" x14ac:dyDescent="0.3">
      <c r="A29" s="1" t="s">
        <v>7</v>
      </c>
      <c r="B29" s="1">
        <v>19</v>
      </c>
      <c r="C29" s="1">
        <v>500</v>
      </c>
      <c r="D29" s="1">
        <v>200</v>
      </c>
      <c r="E29" s="5">
        <f t="shared" si="6"/>
        <v>-0.6</v>
      </c>
      <c r="F29" s="1" t="s">
        <v>18</v>
      </c>
      <c r="G29" s="5">
        <f t="shared" si="7"/>
        <v>9.526315789473685</v>
      </c>
      <c r="H29" s="1" t="s">
        <v>19</v>
      </c>
    </row>
    <row r="30" spans="1:9" x14ac:dyDescent="0.3">
      <c r="A30" s="1" t="s">
        <v>4</v>
      </c>
      <c r="B30" s="1">
        <v>35</v>
      </c>
      <c r="C30" s="1">
        <v>400</v>
      </c>
      <c r="D30" s="1">
        <v>100</v>
      </c>
      <c r="E30" s="5">
        <f t="shared" si="6"/>
        <v>-0.75</v>
      </c>
      <c r="F30" s="1" t="s">
        <v>18</v>
      </c>
      <c r="G30" s="5">
        <f t="shared" si="7"/>
        <v>1.8571428571428572</v>
      </c>
      <c r="H30" s="1" t="s">
        <v>19</v>
      </c>
    </row>
    <row r="31" spans="1:9" x14ac:dyDescent="0.3">
      <c r="A31" s="7" t="s">
        <v>9</v>
      </c>
      <c r="B31" s="7">
        <f>SUM(B26:B30)</f>
        <v>1254</v>
      </c>
      <c r="C31" s="7">
        <f t="shared" ref="C31:D31" si="8">SUM(C26:C30)</f>
        <v>1310</v>
      </c>
      <c r="D31" s="7">
        <f t="shared" si="8"/>
        <v>655</v>
      </c>
      <c r="E31" s="9">
        <f t="shared" si="6"/>
        <v>-0.5</v>
      </c>
      <c r="F31" s="7" t="s">
        <v>18</v>
      </c>
      <c r="G31" s="9">
        <f t="shared" si="7"/>
        <v>-0.47767145135566186</v>
      </c>
      <c r="H31" s="7" t="s">
        <v>18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D43B9-8B0B-4A86-B5A9-1E651BE528A1}">
  <dimension ref="A1:P145"/>
  <sheetViews>
    <sheetView tabSelected="1" zoomScale="66" zoomScaleNormal="66" workbookViewId="0">
      <selection activeCell="D33" sqref="D33"/>
    </sheetView>
  </sheetViews>
  <sheetFormatPr defaultRowHeight="14.4" x14ac:dyDescent="0.3"/>
  <cols>
    <col min="1" max="1" width="44.6640625" customWidth="1"/>
    <col min="2" max="2" width="32.109375" customWidth="1"/>
    <col min="3" max="3" width="30.33203125" bestFit="1" customWidth="1"/>
    <col min="4" max="4" width="57.21875" bestFit="1" customWidth="1"/>
    <col min="5" max="5" width="24.21875" bestFit="1" customWidth="1"/>
    <col min="6" max="6" width="21.33203125" bestFit="1" customWidth="1"/>
    <col min="7" max="7" width="29.77734375" bestFit="1" customWidth="1"/>
  </cols>
  <sheetData>
    <row r="1" spans="1:16" x14ac:dyDescent="0.3">
      <c r="A1" s="49" t="s">
        <v>89</v>
      </c>
    </row>
    <row r="2" spans="1:16" x14ac:dyDescent="0.3">
      <c r="A2" s="8" t="s">
        <v>0</v>
      </c>
      <c r="B2" s="8" t="s">
        <v>1</v>
      </c>
      <c r="C2" s="8" t="s">
        <v>2</v>
      </c>
      <c r="D2" s="8" t="s">
        <v>30</v>
      </c>
      <c r="F2" s="2"/>
      <c r="G2" s="2"/>
    </row>
    <row r="3" spans="1:16" x14ac:dyDescent="0.3">
      <c r="A3" s="1" t="s">
        <v>3</v>
      </c>
      <c r="B3" s="11">
        <v>600</v>
      </c>
      <c r="C3" s="14">
        <v>200</v>
      </c>
      <c r="D3" s="5">
        <v>0.29411764705882354</v>
      </c>
      <c r="F3" s="15"/>
      <c r="G3" s="15"/>
      <c r="N3" s="28"/>
      <c r="O3" s="28"/>
      <c r="P3" s="28"/>
    </row>
    <row r="4" spans="1:16" x14ac:dyDescent="0.3">
      <c r="A4" s="1" t="s">
        <v>6</v>
      </c>
      <c r="B4" s="11">
        <v>550</v>
      </c>
      <c r="C4" s="14">
        <v>300</v>
      </c>
      <c r="D4" s="5">
        <v>0.3125</v>
      </c>
      <c r="F4" s="15"/>
      <c r="G4" s="15"/>
      <c r="N4" s="28"/>
      <c r="O4" s="28"/>
      <c r="P4" s="28"/>
    </row>
    <row r="5" spans="1:16" x14ac:dyDescent="0.3">
      <c r="A5" s="1" t="s">
        <v>29</v>
      </c>
      <c r="B5" s="11">
        <v>500</v>
      </c>
      <c r="C5" s="14">
        <v>100</v>
      </c>
      <c r="D5" s="5">
        <v>0.22058823529411764</v>
      </c>
      <c r="F5" s="15"/>
      <c r="G5" s="15"/>
      <c r="N5" s="28"/>
      <c r="O5" s="28"/>
      <c r="P5" s="28"/>
    </row>
    <row r="6" spans="1:16" x14ac:dyDescent="0.3">
      <c r="A6" s="1" t="s">
        <v>7</v>
      </c>
      <c r="B6" s="11">
        <v>100</v>
      </c>
      <c r="C6" s="14">
        <v>150</v>
      </c>
      <c r="D6" s="5">
        <v>9.1911764705882359E-2</v>
      </c>
      <c r="F6" s="15"/>
      <c r="G6" s="15"/>
      <c r="N6" s="28"/>
      <c r="O6" s="28"/>
      <c r="P6" s="28"/>
    </row>
    <row r="7" spans="1:16" x14ac:dyDescent="0.3">
      <c r="A7" s="1" t="s">
        <v>4</v>
      </c>
      <c r="B7" s="11">
        <v>50</v>
      </c>
      <c r="C7" s="14">
        <v>170</v>
      </c>
      <c r="D7" s="5">
        <v>8.0882352941176475E-2</v>
      </c>
      <c r="E7" s="15"/>
      <c r="F7" s="15"/>
      <c r="G7" s="15"/>
      <c r="N7" s="28"/>
      <c r="O7" s="28"/>
      <c r="P7" s="28"/>
    </row>
    <row r="8" spans="1:16" x14ac:dyDescent="0.3">
      <c r="E8" s="15"/>
      <c r="F8" s="1"/>
      <c r="G8" s="1"/>
      <c r="N8" s="28"/>
      <c r="O8" s="28"/>
      <c r="P8" s="28"/>
    </row>
    <row r="9" spans="1:16" x14ac:dyDescent="0.3">
      <c r="A9" s="1"/>
      <c r="B9" s="2"/>
      <c r="N9" s="28"/>
      <c r="O9" s="28"/>
      <c r="P9" s="28"/>
    </row>
    <row r="10" spans="1:16" x14ac:dyDescent="0.3">
      <c r="A10" s="2"/>
      <c r="B10" s="20" t="s">
        <v>33</v>
      </c>
      <c r="C10" s="20" t="s">
        <v>0</v>
      </c>
      <c r="D10" s="20" t="s">
        <v>34</v>
      </c>
      <c r="N10" s="28"/>
      <c r="O10" s="28"/>
      <c r="P10" s="28"/>
    </row>
    <row r="11" spans="1:16" x14ac:dyDescent="0.3">
      <c r="A11" s="1"/>
      <c r="B11" s="20" t="s">
        <v>35</v>
      </c>
      <c r="C11" s="20" t="s">
        <v>3</v>
      </c>
      <c r="D11" s="20" t="s">
        <v>36</v>
      </c>
      <c r="N11" s="28"/>
      <c r="O11" s="28"/>
      <c r="P11" s="28"/>
    </row>
    <row r="12" spans="1:16" x14ac:dyDescent="0.3">
      <c r="A12" s="1"/>
      <c r="B12" s="20" t="s">
        <v>37</v>
      </c>
      <c r="C12" s="20" t="s">
        <v>6</v>
      </c>
      <c r="D12" s="20" t="s">
        <v>38</v>
      </c>
      <c r="N12" s="28"/>
      <c r="O12" s="28"/>
      <c r="P12" s="28"/>
    </row>
    <row r="13" spans="1:16" x14ac:dyDescent="0.3">
      <c r="A13" s="1"/>
      <c r="B13" s="20" t="s">
        <v>39</v>
      </c>
      <c r="C13" s="20" t="s">
        <v>29</v>
      </c>
      <c r="D13" s="20" t="s">
        <v>40</v>
      </c>
      <c r="N13" s="28"/>
      <c r="O13" s="28"/>
      <c r="P13" s="28"/>
    </row>
    <row r="14" spans="1:16" x14ac:dyDescent="0.3">
      <c r="A14" s="1"/>
      <c r="B14" s="20" t="s">
        <v>41</v>
      </c>
      <c r="C14" s="20" t="s">
        <v>7</v>
      </c>
      <c r="D14" s="20" t="s">
        <v>42</v>
      </c>
      <c r="N14" s="28"/>
      <c r="O14" s="28"/>
      <c r="P14" s="28"/>
    </row>
    <row r="15" spans="1:16" x14ac:dyDescent="0.3">
      <c r="A15" s="1"/>
      <c r="B15" s="20" t="s">
        <v>43</v>
      </c>
      <c r="C15" s="20" t="s">
        <v>4</v>
      </c>
      <c r="D15" s="20" t="s">
        <v>44</v>
      </c>
      <c r="N15" s="28"/>
      <c r="O15" s="28"/>
      <c r="P15" s="28"/>
    </row>
    <row r="16" spans="1:16" x14ac:dyDescent="0.3">
      <c r="N16" s="28"/>
      <c r="O16" s="28"/>
      <c r="P16" s="28"/>
    </row>
    <row r="17" spans="1:16" x14ac:dyDescent="0.3">
      <c r="A17" s="1"/>
      <c r="B17" s="20" t="s">
        <v>0</v>
      </c>
      <c r="C17" s="20" t="s">
        <v>45</v>
      </c>
      <c r="D17" s="20" t="s">
        <v>46</v>
      </c>
      <c r="N17" s="28"/>
      <c r="O17" s="28"/>
      <c r="P17" s="28"/>
    </row>
    <row r="18" spans="1:16" x14ac:dyDescent="0.3">
      <c r="A18" s="2"/>
      <c r="B18" s="20" t="s">
        <v>6</v>
      </c>
      <c r="C18" s="21">
        <v>0.31</v>
      </c>
      <c r="D18" s="22" t="s">
        <v>47</v>
      </c>
      <c r="N18" s="28"/>
      <c r="O18" s="28"/>
      <c r="P18" s="28"/>
    </row>
    <row r="19" spans="1:16" x14ac:dyDescent="0.3">
      <c r="A19" s="1"/>
      <c r="B19" s="20" t="s">
        <v>3</v>
      </c>
      <c r="C19" s="21">
        <v>0.28999999999999998</v>
      </c>
      <c r="D19" s="22" t="s">
        <v>48</v>
      </c>
      <c r="N19" s="28"/>
      <c r="O19" s="28"/>
      <c r="P19" s="28"/>
    </row>
    <row r="20" spans="1:16" x14ac:dyDescent="0.3">
      <c r="A20" s="1"/>
      <c r="B20" s="20" t="s">
        <v>29</v>
      </c>
      <c r="C20" s="21">
        <v>0.22</v>
      </c>
      <c r="D20" s="22" t="s">
        <v>49</v>
      </c>
      <c r="N20" s="28"/>
      <c r="O20" s="28"/>
      <c r="P20" s="28"/>
    </row>
    <row r="21" spans="1:16" x14ac:dyDescent="0.3">
      <c r="A21" s="1"/>
      <c r="B21" s="20" t="s">
        <v>7</v>
      </c>
      <c r="C21" s="21">
        <v>0.09</v>
      </c>
      <c r="D21" s="20" t="s">
        <v>50</v>
      </c>
      <c r="N21" s="28"/>
      <c r="O21" s="28"/>
      <c r="P21" s="28"/>
    </row>
    <row r="22" spans="1:16" x14ac:dyDescent="0.3">
      <c r="A22" s="1"/>
      <c r="B22" s="20" t="s">
        <v>4</v>
      </c>
      <c r="C22" s="21">
        <v>0.08</v>
      </c>
      <c r="D22" s="20" t="s">
        <v>51</v>
      </c>
      <c r="N22" s="28"/>
      <c r="O22" s="28"/>
      <c r="P22" s="28"/>
    </row>
    <row r="23" spans="1:16" x14ac:dyDescent="0.3">
      <c r="A23" s="1"/>
      <c r="B23" s="4"/>
      <c r="N23" s="28"/>
      <c r="O23" s="28"/>
      <c r="P23" s="28"/>
    </row>
    <row r="24" spans="1:16" ht="14.4" customHeight="1" x14ac:dyDescent="0.3">
      <c r="B24" s="32" t="s">
        <v>52</v>
      </c>
      <c r="C24" s="33"/>
      <c r="D24" s="34"/>
      <c r="N24" s="28"/>
      <c r="O24" s="28"/>
      <c r="P24" s="28"/>
    </row>
    <row r="25" spans="1:16" x14ac:dyDescent="0.3">
      <c r="A25" s="1"/>
      <c r="B25" s="35"/>
      <c r="C25" s="36"/>
      <c r="D25" s="37"/>
    </row>
    <row r="26" spans="1:16" x14ac:dyDescent="0.3">
      <c r="A26" s="2"/>
      <c r="B26" s="35" t="s">
        <v>53</v>
      </c>
      <c r="C26" s="36"/>
      <c r="D26" s="37"/>
    </row>
    <row r="27" spans="1:16" x14ac:dyDescent="0.3">
      <c r="A27" s="1"/>
      <c r="B27" s="38"/>
      <c r="C27" s="39"/>
      <c r="D27" s="40"/>
    </row>
    <row r="28" spans="1:16" x14ac:dyDescent="0.3">
      <c r="A28" s="2"/>
      <c r="B28" s="1"/>
      <c r="C28" s="1"/>
      <c r="D28" s="1"/>
      <c r="E28" s="1"/>
    </row>
    <row r="29" spans="1:16" x14ac:dyDescent="0.3">
      <c r="A29" s="8" t="s">
        <v>0</v>
      </c>
      <c r="B29" s="17" t="s">
        <v>27</v>
      </c>
      <c r="C29" s="17" t="s">
        <v>28</v>
      </c>
    </row>
    <row r="30" spans="1:16" x14ac:dyDescent="0.3">
      <c r="A30" s="2" t="s">
        <v>5</v>
      </c>
      <c r="B30" s="5">
        <v>0.25</v>
      </c>
      <c r="C30" s="12">
        <v>0.27777777777777779</v>
      </c>
    </row>
    <row r="31" spans="1:16" x14ac:dyDescent="0.3">
      <c r="A31" s="2" t="s">
        <v>3</v>
      </c>
      <c r="B31" s="5">
        <v>0.33333333333333331</v>
      </c>
      <c r="C31" s="12">
        <v>0.33333333333333331</v>
      </c>
    </row>
    <row r="32" spans="1:16" x14ac:dyDescent="0.3">
      <c r="A32" s="2" t="s">
        <v>6</v>
      </c>
      <c r="B32" s="5">
        <v>0.30555555555555558</v>
      </c>
      <c r="C32" s="12">
        <v>0.30555555555555558</v>
      </c>
    </row>
    <row r="33" spans="1:4" x14ac:dyDescent="0.3">
      <c r="A33" s="2" t="s">
        <v>7</v>
      </c>
      <c r="B33" s="5">
        <v>7.0000000000000007E-2</v>
      </c>
      <c r="C33" s="12">
        <v>5.5555555555555552E-2</v>
      </c>
    </row>
    <row r="34" spans="1:4" x14ac:dyDescent="0.3">
      <c r="A34" s="2" t="s">
        <v>4</v>
      </c>
      <c r="B34" s="5">
        <v>0.01</v>
      </c>
      <c r="C34" s="12">
        <v>2.7777777777777776E-2</v>
      </c>
    </row>
    <row r="36" spans="1:4" ht="15.6" customHeight="1" x14ac:dyDescent="0.3">
      <c r="A36" s="30" t="s">
        <v>54</v>
      </c>
      <c r="B36" s="29"/>
      <c r="C36" s="29"/>
    </row>
    <row r="37" spans="1:4" x14ac:dyDescent="0.3">
      <c r="A37" s="29"/>
      <c r="B37" s="29"/>
      <c r="C37" s="29"/>
    </row>
    <row r="38" spans="1:4" x14ac:dyDescent="0.3">
      <c r="A38" s="29"/>
      <c r="B38" s="29"/>
      <c r="C38" s="29"/>
    </row>
    <row r="39" spans="1:4" x14ac:dyDescent="0.3">
      <c r="A39" s="29"/>
      <c r="B39" s="29"/>
      <c r="C39" s="29"/>
    </row>
    <row r="40" spans="1:4" x14ac:dyDescent="0.3">
      <c r="A40" s="29"/>
      <c r="B40" s="29"/>
      <c r="C40" s="29"/>
    </row>
    <row r="42" spans="1:4" x14ac:dyDescent="0.3">
      <c r="A42" s="18" t="s">
        <v>55</v>
      </c>
      <c r="B42" s="18"/>
      <c r="C42" s="18"/>
    </row>
    <row r="43" spans="1:4" x14ac:dyDescent="0.3">
      <c r="A43" s="18"/>
      <c r="B43" s="18"/>
      <c r="C43" s="18"/>
    </row>
    <row r="45" spans="1:4" x14ac:dyDescent="0.3">
      <c r="A45" s="20" t="s">
        <v>0</v>
      </c>
      <c r="B45" s="20" t="s">
        <v>56</v>
      </c>
      <c r="C45" s="20" t="s">
        <v>57</v>
      </c>
      <c r="D45" s="20" t="s">
        <v>58</v>
      </c>
    </row>
    <row r="46" spans="1:4" x14ac:dyDescent="0.3">
      <c r="A46" s="20" t="s">
        <v>5</v>
      </c>
      <c r="B46" s="21">
        <v>0.25</v>
      </c>
      <c r="C46" s="21">
        <v>0.28000000000000003</v>
      </c>
      <c r="D46" s="22" t="s">
        <v>59</v>
      </c>
    </row>
    <row r="47" spans="1:4" x14ac:dyDescent="0.3">
      <c r="A47" s="20" t="s">
        <v>4</v>
      </c>
      <c r="B47" s="21">
        <v>0.01</v>
      </c>
      <c r="C47" s="21">
        <v>0.03</v>
      </c>
      <c r="D47" s="22" t="s">
        <v>60</v>
      </c>
    </row>
    <row r="48" spans="1:4" x14ac:dyDescent="0.3">
      <c r="A48" s="20" t="s">
        <v>3</v>
      </c>
      <c r="B48" s="21">
        <v>0.33</v>
      </c>
      <c r="C48" s="21">
        <v>0.33</v>
      </c>
      <c r="D48" s="22" t="s">
        <v>61</v>
      </c>
    </row>
    <row r="49" spans="1:10" x14ac:dyDescent="0.3">
      <c r="A49" s="20" t="s">
        <v>6</v>
      </c>
      <c r="B49" s="21">
        <v>0.31</v>
      </c>
      <c r="C49" s="21">
        <v>0.31</v>
      </c>
      <c r="D49" s="22" t="s">
        <v>61</v>
      </c>
    </row>
    <row r="50" spans="1:10" x14ac:dyDescent="0.3">
      <c r="A50" s="20" t="s">
        <v>7</v>
      </c>
      <c r="B50" s="21">
        <v>7.0000000000000007E-2</v>
      </c>
      <c r="C50" s="21">
        <v>0.06</v>
      </c>
      <c r="D50" s="22" t="s">
        <v>62</v>
      </c>
    </row>
    <row r="52" spans="1:10" ht="172.8" customHeight="1" x14ac:dyDescent="0.3">
      <c r="A52" s="19" t="s">
        <v>63</v>
      </c>
      <c r="B52" s="19"/>
      <c r="C52" s="19"/>
      <c r="D52" s="19"/>
    </row>
    <row r="54" spans="1:10" ht="15.6" customHeight="1" x14ac:dyDescent="0.3">
      <c r="A54" s="31" t="s">
        <v>64</v>
      </c>
      <c r="B54" s="31"/>
      <c r="C54" s="31"/>
      <c r="D54" s="31"/>
    </row>
    <row r="55" spans="1:10" ht="14.4" customHeight="1" x14ac:dyDescent="0.3">
      <c r="A55" s="31"/>
      <c r="B55" s="31"/>
      <c r="C55" s="31"/>
      <c r="D55" s="31"/>
    </row>
    <row r="56" spans="1:10" ht="14.4" customHeight="1" x14ac:dyDescent="0.3">
      <c r="A56" s="31"/>
      <c r="B56" s="31"/>
      <c r="C56" s="31"/>
      <c r="D56" s="31"/>
    </row>
    <row r="57" spans="1:10" ht="14.4" customHeight="1" x14ac:dyDescent="0.3">
      <c r="A57" s="31"/>
      <c r="B57" s="31"/>
      <c r="C57" s="31"/>
      <c r="D57" s="31"/>
    </row>
    <row r="58" spans="1:10" ht="14.4" customHeight="1" x14ac:dyDescent="0.3">
      <c r="A58" s="31"/>
      <c r="B58" s="31"/>
      <c r="C58" s="31"/>
      <c r="D58" s="31"/>
    </row>
    <row r="59" spans="1:10" ht="14.4" customHeight="1" x14ac:dyDescent="0.3">
      <c r="A59" s="31"/>
      <c r="B59" s="31"/>
      <c r="C59" s="31"/>
      <c r="D59" s="31"/>
    </row>
    <row r="60" spans="1:10" ht="14.4" customHeight="1" x14ac:dyDescent="0.3">
      <c r="A60" s="31"/>
      <c r="B60" s="31"/>
      <c r="C60" s="31"/>
      <c r="D60" s="31"/>
    </row>
    <row r="61" spans="1:10" x14ac:dyDescent="0.3">
      <c r="A61" s="49" t="s">
        <v>65</v>
      </c>
      <c r="B61" s="49"/>
      <c r="C61" s="49"/>
      <c r="D61" s="49"/>
      <c r="E61" s="49"/>
      <c r="F61" s="49"/>
      <c r="G61" s="49"/>
      <c r="H61" s="49"/>
      <c r="I61" s="49"/>
      <c r="J61" s="49"/>
    </row>
    <row r="62" spans="1:10" x14ac:dyDescent="0.3">
      <c r="A62" s="8" t="s">
        <v>0</v>
      </c>
      <c r="B62" s="8" t="s">
        <v>22</v>
      </c>
      <c r="C62" s="8" t="s">
        <v>23</v>
      </c>
      <c r="D62" s="8" t="s">
        <v>24</v>
      </c>
      <c r="E62" s="8" t="s">
        <v>25</v>
      </c>
      <c r="F62" s="8" t="s">
        <v>26</v>
      </c>
      <c r="G62" s="8" t="s">
        <v>13</v>
      </c>
      <c r="H62" s="8" t="s">
        <v>14</v>
      </c>
      <c r="I62" s="8" t="s">
        <v>15</v>
      </c>
    </row>
    <row r="63" spans="1:10" x14ac:dyDescent="0.3">
      <c r="A63" s="1" t="s">
        <v>5</v>
      </c>
      <c r="B63" s="1">
        <v>100</v>
      </c>
      <c r="C63" s="1">
        <v>300</v>
      </c>
      <c r="D63" s="11">
        <v>500</v>
      </c>
      <c r="E63" s="12">
        <v>0.27777777777777779</v>
      </c>
      <c r="F63" s="5">
        <v>0.66666666666666663</v>
      </c>
      <c r="G63" s="1" t="s">
        <v>19</v>
      </c>
      <c r="H63" s="5">
        <v>0.8</v>
      </c>
      <c r="I63" s="1" t="s">
        <v>19</v>
      </c>
    </row>
    <row r="64" spans="1:10" x14ac:dyDescent="0.3">
      <c r="A64" s="1" t="s">
        <v>3</v>
      </c>
      <c r="B64" s="1">
        <v>50</v>
      </c>
      <c r="C64" s="1">
        <v>250</v>
      </c>
      <c r="D64" s="11">
        <v>600</v>
      </c>
      <c r="E64" s="12">
        <v>0.33333333333333331</v>
      </c>
      <c r="F64" s="5">
        <v>1.4</v>
      </c>
      <c r="G64" s="1" t="s">
        <v>19</v>
      </c>
      <c r="H64" s="5">
        <v>0.91666666666666663</v>
      </c>
      <c r="I64" s="1" t="s">
        <v>19</v>
      </c>
    </row>
    <row r="65" spans="1:9" x14ac:dyDescent="0.3">
      <c r="A65" s="1" t="s">
        <v>6</v>
      </c>
      <c r="B65" s="1">
        <v>100</v>
      </c>
      <c r="C65" s="1">
        <v>400</v>
      </c>
      <c r="D65" s="11">
        <v>550</v>
      </c>
      <c r="E65" s="12">
        <v>0.30555555555555558</v>
      </c>
      <c r="F65" s="5">
        <v>0.375</v>
      </c>
      <c r="G65" s="1" t="s">
        <v>19</v>
      </c>
      <c r="H65" s="5">
        <v>0.81818181818181823</v>
      </c>
      <c r="I65" s="1" t="s">
        <v>19</v>
      </c>
    </row>
    <row r="66" spans="1:9" x14ac:dyDescent="0.3">
      <c r="A66" s="1" t="s">
        <v>7</v>
      </c>
      <c r="B66" s="1">
        <v>80</v>
      </c>
      <c r="C66" s="1">
        <v>90</v>
      </c>
      <c r="D66" s="11">
        <v>100</v>
      </c>
      <c r="E66" s="12">
        <v>5.5555555555555552E-2</v>
      </c>
      <c r="F66" s="5">
        <v>0.1111111111111111</v>
      </c>
      <c r="G66" s="1" t="s">
        <v>19</v>
      </c>
      <c r="H66" s="5">
        <v>0.2</v>
      </c>
      <c r="I66" s="1" t="s">
        <v>19</v>
      </c>
    </row>
    <row r="67" spans="1:9" x14ac:dyDescent="0.3">
      <c r="A67" s="1" t="s">
        <v>4</v>
      </c>
      <c r="B67" s="1">
        <v>10</v>
      </c>
      <c r="C67" s="1">
        <v>15</v>
      </c>
      <c r="D67" s="11">
        <v>50</v>
      </c>
      <c r="E67" s="12">
        <v>2.7777777777777776E-2</v>
      </c>
      <c r="F67" s="5">
        <v>2.3333333333333335</v>
      </c>
      <c r="G67" s="1" t="s">
        <v>19</v>
      </c>
      <c r="H67" s="5">
        <v>0.8</v>
      </c>
      <c r="I67" s="1" t="s">
        <v>19</v>
      </c>
    </row>
    <row r="68" spans="1:9" x14ac:dyDescent="0.3">
      <c r="A68" s="7" t="s">
        <v>9</v>
      </c>
      <c r="B68" s="7">
        <v>340</v>
      </c>
      <c r="C68" s="7">
        <v>1055</v>
      </c>
      <c r="D68" s="7">
        <v>1800</v>
      </c>
      <c r="E68" s="9">
        <v>1</v>
      </c>
      <c r="F68" s="9">
        <v>0.70616113744075826</v>
      </c>
      <c r="G68" s="7" t="s">
        <v>19</v>
      </c>
      <c r="H68" s="9">
        <v>0.81111111111111112</v>
      </c>
      <c r="I68" s="7" t="s">
        <v>19</v>
      </c>
    </row>
    <row r="70" spans="1:9" ht="18" x14ac:dyDescent="0.3">
      <c r="A70" s="46" t="s">
        <v>67</v>
      </c>
      <c r="B70" s="1"/>
      <c r="C70" s="1"/>
    </row>
    <row r="71" spans="1:9" x14ac:dyDescent="0.3">
      <c r="A71" s="1"/>
      <c r="B71" s="1"/>
      <c r="C71" s="1"/>
    </row>
    <row r="72" spans="1:9" x14ac:dyDescent="0.3">
      <c r="A72" s="2" t="s">
        <v>68</v>
      </c>
      <c r="B72" s="1"/>
      <c r="C72" s="1"/>
      <c r="D72" s="42"/>
    </row>
    <row r="73" spans="1:9" x14ac:dyDescent="0.3">
      <c r="A73" s="1"/>
      <c r="B73" s="1"/>
      <c r="C73" s="1"/>
    </row>
    <row r="74" spans="1:9" x14ac:dyDescent="0.3">
      <c r="A74" s="26" t="s">
        <v>0</v>
      </c>
      <c r="B74" s="26" t="s">
        <v>69</v>
      </c>
      <c r="C74" s="26" t="s">
        <v>70</v>
      </c>
    </row>
    <row r="75" spans="1:9" x14ac:dyDescent="0.3">
      <c r="A75" s="42" t="s">
        <v>5</v>
      </c>
      <c r="B75" s="47">
        <v>0.67</v>
      </c>
      <c r="C75" s="42" t="s">
        <v>19</v>
      </c>
    </row>
    <row r="76" spans="1:9" x14ac:dyDescent="0.3">
      <c r="A76" s="42" t="s">
        <v>3</v>
      </c>
      <c r="B76" s="47">
        <v>1.4</v>
      </c>
      <c r="C76" s="42" t="s">
        <v>19</v>
      </c>
    </row>
    <row r="77" spans="1:9" x14ac:dyDescent="0.3">
      <c r="A77" s="42" t="s">
        <v>6</v>
      </c>
      <c r="B77" s="47">
        <v>0.38</v>
      </c>
      <c r="C77" s="42" t="s">
        <v>19</v>
      </c>
    </row>
    <row r="78" spans="1:9" x14ac:dyDescent="0.3">
      <c r="A78" s="42" t="s">
        <v>7</v>
      </c>
      <c r="B78" s="47">
        <v>0.11</v>
      </c>
      <c r="C78" s="42" t="s">
        <v>19</v>
      </c>
    </row>
    <row r="79" spans="1:9" x14ac:dyDescent="0.3">
      <c r="A79" s="42" t="s">
        <v>4</v>
      </c>
      <c r="B79" s="47">
        <v>2.33</v>
      </c>
      <c r="C79" s="42" t="s">
        <v>19</v>
      </c>
    </row>
    <row r="80" spans="1:9" x14ac:dyDescent="0.3">
      <c r="A80" s="26" t="s">
        <v>71</v>
      </c>
      <c r="B80" s="48">
        <v>0.71</v>
      </c>
      <c r="C80" s="26" t="s">
        <v>19</v>
      </c>
    </row>
    <row r="81" spans="1:8" x14ac:dyDescent="0.3">
      <c r="A81" s="1"/>
      <c r="B81" s="1"/>
      <c r="C81" s="1"/>
    </row>
    <row r="82" spans="1:8" ht="18" x14ac:dyDescent="0.3">
      <c r="A82" s="46" t="s">
        <v>72</v>
      </c>
      <c r="B82" s="1"/>
      <c r="C82" s="1"/>
    </row>
    <row r="83" spans="1:8" x14ac:dyDescent="0.3">
      <c r="A83" s="1"/>
      <c r="B83" s="1"/>
      <c r="C83" s="1"/>
    </row>
    <row r="84" spans="1:8" x14ac:dyDescent="0.3">
      <c r="A84" s="2" t="s">
        <v>73</v>
      </c>
      <c r="B84" s="1"/>
      <c r="C84" s="1"/>
    </row>
    <row r="85" spans="1:8" x14ac:dyDescent="0.3">
      <c r="A85" s="1"/>
      <c r="B85" s="1"/>
      <c r="C85" s="1"/>
    </row>
    <row r="86" spans="1:8" x14ac:dyDescent="0.3">
      <c r="A86" s="26" t="s">
        <v>0</v>
      </c>
      <c r="B86" s="26" t="s">
        <v>74</v>
      </c>
      <c r="C86" s="26" t="s">
        <v>70</v>
      </c>
    </row>
    <row r="87" spans="1:8" x14ac:dyDescent="0.3">
      <c r="A87" s="42" t="s">
        <v>5</v>
      </c>
      <c r="B87" s="47">
        <v>0.8</v>
      </c>
      <c r="C87" s="42" t="s">
        <v>19</v>
      </c>
    </row>
    <row r="88" spans="1:8" x14ac:dyDescent="0.3">
      <c r="A88" s="42" t="s">
        <v>3</v>
      </c>
      <c r="B88" s="47">
        <v>0.92</v>
      </c>
      <c r="C88" s="42" t="s">
        <v>19</v>
      </c>
    </row>
    <row r="89" spans="1:8" x14ac:dyDescent="0.3">
      <c r="A89" s="42" t="s">
        <v>6</v>
      </c>
      <c r="B89" s="47">
        <v>0.82</v>
      </c>
      <c r="C89" s="42" t="s">
        <v>19</v>
      </c>
    </row>
    <row r="90" spans="1:8" x14ac:dyDescent="0.3">
      <c r="A90" s="42" t="s">
        <v>7</v>
      </c>
      <c r="B90" s="47">
        <v>0.2</v>
      </c>
      <c r="C90" s="42" t="s">
        <v>19</v>
      </c>
    </row>
    <row r="91" spans="1:8" x14ac:dyDescent="0.3">
      <c r="A91" s="42" t="s">
        <v>4</v>
      </c>
      <c r="B91" s="47">
        <v>0.8</v>
      </c>
      <c r="C91" s="42" t="s">
        <v>19</v>
      </c>
    </row>
    <row r="92" spans="1:8" x14ac:dyDescent="0.3">
      <c r="A92" s="26" t="s">
        <v>71</v>
      </c>
      <c r="B92" s="48">
        <v>0</v>
      </c>
      <c r="C92" s="26" t="s">
        <v>19</v>
      </c>
    </row>
    <row r="94" spans="1:8" x14ac:dyDescent="0.3">
      <c r="A94" s="49"/>
      <c r="B94" s="49"/>
      <c r="C94" s="49"/>
      <c r="D94" s="49"/>
      <c r="E94" s="49"/>
      <c r="F94" s="49"/>
      <c r="G94" s="49"/>
      <c r="H94" s="49"/>
    </row>
    <row r="95" spans="1:8" x14ac:dyDescent="0.3">
      <c r="A95" s="8" t="s">
        <v>0</v>
      </c>
      <c r="B95" s="8" t="s">
        <v>16</v>
      </c>
      <c r="C95" s="8" t="s">
        <v>17</v>
      </c>
      <c r="D95" s="8" t="s">
        <v>11</v>
      </c>
      <c r="E95" s="8" t="s">
        <v>12</v>
      </c>
      <c r="F95" s="8" t="s">
        <v>13</v>
      </c>
      <c r="G95" s="8" t="s">
        <v>14</v>
      </c>
      <c r="H95" s="8" t="s">
        <v>15</v>
      </c>
    </row>
    <row r="96" spans="1:8" x14ac:dyDescent="0.3">
      <c r="A96" s="1" t="s">
        <v>5</v>
      </c>
      <c r="B96" s="1">
        <v>500</v>
      </c>
      <c r="C96" s="1">
        <v>10</v>
      </c>
      <c r="D96" s="1">
        <v>5</v>
      </c>
      <c r="E96" s="5">
        <f>((D96-C96)/C96)</f>
        <v>-0.5</v>
      </c>
      <c r="F96" s="1" t="s">
        <v>18</v>
      </c>
      <c r="G96" s="5">
        <f>(D96-B96)/B96</f>
        <v>-0.99</v>
      </c>
      <c r="H96" s="1" t="s">
        <v>18</v>
      </c>
    </row>
    <row r="97" spans="1:8" x14ac:dyDescent="0.3">
      <c r="A97" s="1" t="s">
        <v>3</v>
      </c>
      <c r="B97" s="1">
        <v>400</v>
      </c>
      <c r="C97" s="1">
        <v>300</v>
      </c>
      <c r="D97" s="1">
        <v>100</v>
      </c>
      <c r="E97" s="5">
        <f>((D97-C97)/C97)</f>
        <v>-0.66666666666666663</v>
      </c>
      <c r="F97" s="1" t="s">
        <v>18</v>
      </c>
      <c r="G97" s="5">
        <f>(D97-B97)/B97</f>
        <v>-0.75</v>
      </c>
      <c r="H97" s="1" t="s">
        <v>18</v>
      </c>
    </row>
    <row r="98" spans="1:8" x14ac:dyDescent="0.3">
      <c r="A98" s="1" t="s">
        <v>6</v>
      </c>
      <c r="B98" s="1">
        <v>300</v>
      </c>
      <c r="C98" s="1">
        <v>100</v>
      </c>
      <c r="D98" s="1">
        <v>250</v>
      </c>
      <c r="E98" s="5">
        <f t="shared" ref="E98:E101" si="0">((D98-C98)/C98)</f>
        <v>1.5</v>
      </c>
      <c r="F98" s="1" t="s">
        <v>19</v>
      </c>
      <c r="G98" s="5">
        <f t="shared" ref="G98:G101" si="1">(D98-B98)/B98</f>
        <v>-0.16666666666666666</v>
      </c>
      <c r="H98" s="1" t="s">
        <v>18</v>
      </c>
    </row>
    <row r="99" spans="1:8" x14ac:dyDescent="0.3">
      <c r="A99" s="1" t="s">
        <v>7</v>
      </c>
      <c r="B99" s="1">
        <v>19</v>
      </c>
      <c r="C99" s="1">
        <v>500</v>
      </c>
      <c r="D99" s="1">
        <v>200</v>
      </c>
      <c r="E99" s="5">
        <f t="shared" si="0"/>
        <v>-0.6</v>
      </c>
      <c r="F99" s="1" t="s">
        <v>18</v>
      </c>
      <c r="G99" s="5">
        <f t="shared" si="1"/>
        <v>9.526315789473685</v>
      </c>
      <c r="H99" s="1" t="s">
        <v>19</v>
      </c>
    </row>
    <row r="100" spans="1:8" x14ac:dyDescent="0.3">
      <c r="A100" s="1" t="s">
        <v>4</v>
      </c>
      <c r="B100" s="1">
        <v>35</v>
      </c>
      <c r="C100" s="1">
        <v>400</v>
      </c>
      <c r="D100" s="1">
        <v>100</v>
      </c>
      <c r="E100" s="5">
        <f t="shared" si="0"/>
        <v>-0.75</v>
      </c>
      <c r="F100" s="1" t="s">
        <v>18</v>
      </c>
      <c r="G100" s="5">
        <f t="shared" si="1"/>
        <v>1.8571428571428572</v>
      </c>
      <c r="H100" s="1" t="s">
        <v>19</v>
      </c>
    </row>
    <row r="101" spans="1:8" x14ac:dyDescent="0.3">
      <c r="A101" s="7" t="s">
        <v>9</v>
      </c>
      <c r="B101" s="7">
        <f>SUM(B96:B100)</f>
        <v>1254</v>
      </c>
      <c r="C101" s="7">
        <f t="shared" ref="C101:D101" si="2">SUM(C96:C100)</f>
        <v>1310</v>
      </c>
      <c r="D101" s="7">
        <f t="shared" si="2"/>
        <v>655</v>
      </c>
      <c r="E101" s="9">
        <f t="shared" si="0"/>
        <v>-0.5</v>
      </c>
      <c r="F101" s="7" t="s">
        <v>18</v>
      </c>
      <c r="G101" s="9">
        <f t="shared" si="1"/>
        <v>-0.47767145135566186</v>
      </c>
      <c r="H101" s="7" t="s">
        <v>18</v>
      </c>
    </row>
    <row r="103" spans="1:8" x14ac:dyDescent="0.3">
      <c r="A103" t="s">
        <v>75</v>
      </c>
    </row>
    <row r="105" spans="1:8" ht="18" x14ac:dyDescent="0.3">
      <c r="A105" s="41" t="s">
        <v>76</v>
      </c>
    </row>
    <row r="107" spans="1:8" x14ac:dyDescent="0.3">
      <c r="A107" s="26" t="s">
        <v>0</v>
      </c>
      <c r="B107" s="26" t="s">
        <v>77</v>
      </c>
      <c r="C107" s="26" t="s">
        <v>78</v>
      </c>
      <c r="D107" s="26" t="s">
        <v>79</v>
      </c>
    </row>
    <row r="108" spans="1:8" x14ac:dyDescent="0.3">
      <c r="A108" s="43" t="s">
        <v>5</v>
      </c>
      <c r="B108" s="43">
        <v>500</v>
      </c>
      <c r="C108" s="43">
        <v>10</v>
      </c>
      <c r="D108" s="43">
        <v>5</v>
      </c>
    </row>
    <row r="109" spans="1:8" x14ac:dyDescent="0.3">
      <c r="A109" s="43" t="s">
        <v>3</v>
      </c>
      <c r="B109" s="43">
        <v>400</v>
      </c>
      <c r="C109" s="43">
        <v>300</v>
      </c>
      <c r="D109" s="43">
        <v>100</v>
      </c>
    </row>
    <row r="110" spans="1:8" x14ac:dyDescent="0.3">
      <c r="A110" s="43" t="s">
        <v>6</v>
      </c>
      <c r="B110" s="43">
        <v>300</v>
      </c>
      <c r="C110" s="43">
        <v>100</v>
      </c>
      <c r="D110" s="43">
        <v>250</v>
      </c>
    </row>
    <row r="111" spans="1:8" x14ac:dyDescent="0.3">
      <c r="A111" s="43" t="s">
        <v>7</v>
      </c>
      <c r="B111" s="43">
        <v>19</v>
      </c>
      <c r="C111" s="43">
        <v>500</v>
      </c>
      <c r="D111" s="43">
        <v>200</v>
      </c>
    </row>
    <row r="112" spans="1:8" x14ac:dyDescent="0.3">
      <c r="A112" s="43" t="s">
        <v>4</v>
      </c>
      <c r="B112" s="43">
        <v>35</v>
      </c>
      <c r="C112" s="43">
        <v>400</v>
      </c>
      <c r="D112" s="43">
        <v>100</v>
      </c>
    </row>
    <row r="113" spans="1:4" x14ac:dyDescent="0.3">
      <c r="A113" s="27" t="s">
        <v>9</v>
      </c>
      <c r="B113" s="27">
        <v>1254</v>
      </c>
      <c r="C113" s="27">
        <v>1310</v>
      </c>
      <c r="D113" s="27">
        <v>655</v>
      </c>
    </row>
    <row r="115" spans="1:4" ht="18" x14ac:dyDescent="0.3">
      <c r="A115" s="41" t="s">
        <v>80</v>
      </c>
    </row>
    <row r="117" spans="1:4" x14ac:dyDescent="0.3">
      <c r="A117" s="23" t="s">
        <v>81</v>
      </c>
    </row>
    <row r="119" spans="1:4" x14ac:dyDescent="0.3">
      <c r="A119" s="26" t="s">
        <v>0</v>
      </c>
      <c r="B119" s="26" t="s">
        <v>69</v>
      </c>
      <c r="C119" s="26" t="s">
        <v>13</v>
      </c>
    </row>
    <row r="120" spans="1:4" x14ac:dyDescent="0.3">
      <c r="A120" s="43" t="s">
        <v>5</v>
      </c>
      <c r="B120" s="44">
        <v>-0.5</v>
      </c>
      <c r="C120" s="43" t="s">
        <v>18</v>
      </c>
    </row>
    <row r="121" spans="1:4" x14ac:dyDescent="0.3">
      <c r="A121" s="43" t="s">
        <v>3</v>
      </c>
      <c r="B121" s="44">
        <v>-0.67</v>
      </c>
      <c r="C121" s="43" t="s">
        <v>18</v>
      </c>
    </row>
    <row r="122" spans="1:4" x14ac:dyDescent="0.3">
      <c r="A122" s="43" t="s">
        <v>6</v>
      </c>
      <c r="B122" s="44">
        <v>1.5</v>
      </c>
      <c r="C122" s="43" t="s">
        <v>19</v>
      </c>
    </row>
    <row r="123" spans="1:4" x14ac:dyDescent="0.3">
      <c r="A123" s="43" t="s">
        <v>7</v>
      </c>
      <c r="B123" s="44">
        <v>-0.6</v>
      </c>
      <c r="C123" s="43" t="s">
        <v>18</v>
      </c>
    </row>
    <row r="124" spans="1:4" x14ac:dyDescent="0.3">
      <c r="A124" s="43" t="s">
        <v>4</v>
      </c>
      <c r="B124" s="44">
        <v>-0.75</v>
      </c>
      <c r="C124" s="43" t="s">
        <v>18</v>
      </c>
    </row>
    <row r="125" spans="1:4" x14ac:dyDescent="0.3">
      <c r="A125" s="27" t="s">
        <v>71</v>
      </c>
      <c r="B125" s="45">
        <v>-0.5</v>
      </c>
      <c r="C125" s="27" t="s">
        <v>18</v>
      </c>
    </row>
    <row r="127" spans="1:4" ht="18" x14ac:dyDescent="0.3">
      <c r="A127" s="41" t="s">
        <v>82</v>
      </c>
    </row>
    <row r="129" spans="1:3" x14ac:dyDescent="0.3">
      <c r="A129" s="23" t="s">
        <v>83</v>
      </c>
    </row>
    <row r="131" spans="1:3" x14ac:dyDescent="0.3">
      <c r="A131" s="26" t="s">
        <v>0</v>
      </c>
      <c r="B131" s="26" t="s">
        <v>74</v>
      </c>
      <c r="C131" s="26" t="s">
        <v>15</v>
      </c>
    </row>
    <row r="132" spans="1:3" x14ac:dyDescent="0.3">
      <c r="A132" s="43" t="s">
        <v>5</v>
      </c>
      <c r="B132" s="44">
        <v>-0.99</v>
      </c>
      <c r="C132" s="43" t="s">
        <v>18</v>
      </c>
    </row>
    <row r="133" spans="1:3" x14ac:dyDescent="0.3">
      <c r="A133" s="43" t="s">
        <v>3</v>
      </c>
      <c r="B133" s="44">
        <v>-0.75</v>
      </c>
      <c r="C133" s="43" t="s">
        <v>18</v>
      </c>
    </row>
    <row r="134" spans="1:3" x14ac:dyDescent="0.3">
      <c r="A134" s="43" t="s">
        <v>6</v>
      </c>
      <c r="B134" s="44">
        <v>-0.17</v>
      </c>
      <c r="C134" s="43" t="s">
        <v>18</v>
      </c>
    </row>
    <row r="135" spans="1:3" x14ac:dyDescent="0.3">
      <c r="A135" s="43" t="s">
        <v>7</v>
      </c>
      <c r="B135" s="44">
        <v>9.5299999999999994</v>
      </c>
      <c r="C135" s="43" t="s">
        <v>19</v>
      </c>
    </row>
    <row r="136" spans="1:3" x14ac:dyDescent="0.3">
      <c r="A136" s="43" t="s">
        <v>4</v>
      </c>
      <c r="B136" s="44">
        <v>1.86</v>
      </c>
      <c r="C136" s="43" t="s">
        <v>19</v>
      </c>
    </row>
    <row r="137" spans="1:3" x14ac:dyDescent="0.3">
      <c r="A137" s="27" t="s">
        <v>71</v>
      </c>
      <c r="B137" s="45">
        <v>-0.48</v>
      </c>
      <c r="C137" s="27" t="s">
        <v>18</v>
      </c>
    </row>
    <row r="138" spans="1:3" x14ac:dyDescent="0.3">
      <c r="A138" t="s">
        <v>66</v>
      </c>
    </row>
    <row r="140" spans="1:3" x14ac:dyDescent="0.3">
      <c r="A140" s="23" t="s">
        <v>84</v>
      </c>
    </row>
    <row r="141" spans="1:3" x14ac:dyDescent="0.3">
      <c r="A141" s="25"/>
    </row>
    <row r="142" spans="1:3" x14ac:dyDescent="0.3">
      <c r="A142" s="25" t="s">
        <v>85</v>
      </c>
    </row>
    <row r="143" spans="1:3" x14ac:dyDescent="0.3">
      <c r="A143" s="24" t="s">
        <v>86</v>
      </c>
    </row>
    <row r="144" spans="1:3" x14ac:dyDescent="0.3">
      <c r="A144" s="25" t="s">
        <v>87</v>
      </c>
    </row>
    <row r="145" spans="1:1" x14ac:dyDescent="0.3">
      <c r="A145" s="25" t="s">
        <v>88</v>
      </c>
    </row>
  </sheetData>
  <sortState xmlns:xlrd2="http://schemas.microsoft.com/office/spreadsheetml/2017/richdata2" ref="A3:D7">
    <sortCondition descending="1" ref="B3:B7"/>
  </sortState>
  <mergeCells count="6">
    <mergeCell ref="A42:C43"/>
    <mergeCell ref="A52:D52"/>
    <mergeCell ref="A54:D60"/>
    <mergeCell ref="B26:D27"/>
    <mergeCell ref="B24:D25"/>
    <mergeCell ref="A36:C40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61E86-E45B-40A0-A17C-161466A5C45B}">
  <dimension ref="A1"/>
  <sheetViews>
    <sheetView workbookViewId="0">
      <selection activeCell="C19" sqref="A1:C19"/>
    </sheetView>
  </sheetViews>
  <sheetFormatPr defaultRowHeight="14.4" x14ac:dyDescent="0.3"/>
  <cols>
    <col min="1" max="1" width="18.21875" bestFit="1" customWidth="1"/>
    <col min="2" max="2" width="25.5546875" bestFit="1" customWidth="1"/>
    <col min="3" max="3" width="23.441406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Geral</vt:lpstr>
      <vt:lpstr>Incidentes x Supte</vt:lpstr>
      <vt:lpstr>Diárias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 VALENTIM CAPPELOZZA</dc:creator>
  <cp:lastModifiedBy>ENZO  VALENTIM CAPPELOZZA</cp:lastModifiedBy>
  <dcterms:created xsi:type="dcterms:W3CDTF">2025-06-22T19:54:57Z</dcterms:created>
  <dcterms:modified xsi:type="dcterms:W3CDTF">2025-06-23T04:26:26Z</dcterms:modified>
</cp:coreProperties>
</file>